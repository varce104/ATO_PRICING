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rce\OneDrive\Escritorio\codigos\ATO_PRICING\var_results\"/>
    </mc:Choice>
  </mc:AlternateContent>
  <xr:revisionPtr revIDLastSave="0" documentId="13_ncr:1_{50B96B0A-E46E-47F7-9BEB-86FF18EB2AF2}" xr6:coauthVersionLast="47" xr6:coauthVersionMax="47" xr10:uidLastSave="{00000000-0000-0000-0000-000000000000}"/>
  <bookViews>
    <workbookView xWindow="-104" yWindow="-104" windowWidth="20098" windowHeight="10671" activeTab="1" xr2:uid="{00000000-000D-0000-FFFF-FFFF00000000}"/>
  </bookViews>
  <sheets>
    <sheet name="Sheet1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3" i="2" l="1"/>
  <c r="F257" i="2"/>
  <c r="F255" i="2"/>
  <c r="F252" i="2"/>
  <c r="F246" i="2"/>
  <c r="F244" i="2"/>
  <c r="F241" i="2"/>
  <c r="F235" i="2"/>
  <c r="F233" i="2"/>
  <c r="F208" i="2"/>
  <c r="F202" i="2"/>
  <c r="F186" i="2"/>
  <c r="F180" i="2"/>
  <c r="F125" i="2"/>
  <c r="F70" i="2"/>
  <c r="F15" i="2"/>
  <c r="F13" i="2"/>
  <c r="F276" i="2"/>
  <c r="F275" i="2"/>
  <c r="F274" i="2"/>
  <c r="F273" i="2"/>
  <c r="F272" i="2"/>
  <c r="M271" i="2"/>
  <c r="F271" i="2"/>
  <c r="M270" i="2"/>
  <c r="F270" i="2"/>
  <c r="M269" i="2"/>
  <c r="F269" i="2"/>
  <c r="M268" i="2"/>
  <c r="F268" i="2"/>
  <c r="M267" i="2"/>
  <c r="F267" i="2"/>
  <c r="F266" i="2"/>
  <c r="F265" i="2"/>
  <c r="F264" i="2"/>
  <c r="F262" i="2"/>
  <c r="F261" i="2"/>
  <c r="M260" i="2"/>
  <c r="F260" i="2"/>
  <c r="M259" i="2"/>
  <c r="F259" i="2"/>
  <c r="M258" i="2"/>
  <c r="F258" i="2"/>
  <c r="M257" i="2"/>
  <c r="M256" i="2"/>
  <c r="F256" i="2"/>
  <c r="F254" i="2"/>
  <c r="F253" i="2"/>
  <c r="F251" i="2"/>
  <c r="F250" i="2"/>
  <c r="M249" i="2"/>
  <c r="F249" i="2"/>
  <c r="M248" i="2"/>
  <c r="F248" i="2"/>
  <c r="M247" i="2"/>
  <c r="F247" i="2"/>
  <c r="M246" i="2"/>
  <c r="M245" i="2"/>
  <c r="F245" i="2"/>
  <c r="F243" i="2"/>
  <c r="F242" i="2"/>
  <c r="F240" i="2"/>
  <c r="F239" i="2"/>
  <c r="M238" i="2"/>
  <c r="F238" i="2"/>
  <c r="M237" i="2"/>
  <c r="F237" i="2"/>
  <c r="M236" i="2"/>
  <c r="F236" i="2"/>
  <c r="M235" i="2"/>
  <c r="M234" i="2"/>
  <c r="F234" i="2"/>
  <c r="F221" i="2"/>
  <c r="F220" i="2"/>
  <c r="F219" i="2"/>
  <c r="F218" i="2"/>
  <c r="F217" i="2"/>
  <c r="M216" i="2"/>
  <c r="F216" i="2"/>
  <c r="M215" i="2"/>
  <c r="F215" i="2"/>
  <c r="M214" i="2"/>
  <c r="F214" i="2"/>
  <c r="M213" i="2"/>
  <c r="F213" i="2"/>
  <c r="M212" i="2"/>
  <c r="F212" i="2"/>
  <c r="F211" i="2"/>
  <c r="F210" i="2"/>
  <c r="F209" i="2"/>
  <c r="F207" i="2"/>
  <c r="F206" i="2"/>
  <c r="M205" i="2"/>
  <c r="F205" i="2"/>
  <c r="M204" i="2"/>
  <c r="F204" i="2"/>
  <c r="M203" i="2"/>
  <c r="F203" i="2"/>
  <c r="M202" i="2"/>
  <c r="M201" i="2"/>
  <c r="F201" i="2"/>
  <c r="F200" i="2"/>
  <c r="F199" i="2"/>
  <c r="F198" i="2"/>
  <c r="F197" i="2"/>
  <c r="F196" i="2"/>
  <c r="F195" i="2"/>
  <c r="M194" i="2"/>
  <c r="F194" i="2"/>
  <c r="M193" i="2"/>
  <c r="F193" i="2"/>
  <c r="M192" i="2"/>
  <c r="F192" i="2"/>
  <c r="M191" i="2"/>
  <c r="F191" i="2"/>
  <c r="M190" i="2"/>
  <c r="F190" i="2"/>
  <c r="F189" i="2"/>
  <c r="F188" i="2"/>
  <c r="F187" i="2"/>
  <c r="F185" i="2"/>
  <c r="F184" i="2"/>
  <c r="M183" i="2"/>
  <c r="F183" i="2"/>
  <c r="M182" i="2"/>
  <c r="F182" i="2"/>
  <c r="M181" i="2"/>
  <c r="F181" i="2"/>
  <c r="M180" i="2"/>
  <c r="M179" i="2"/>
  <c r="F179" i="2"/>
  <c r="F166" i="2"/>
  <c r="F165" i="2"/>
  <c r="F164" i="2"/>
  <c r="F163" i="2"/>
  <c r="F162" i="2"/>
  <c r="M161" i="2"/>
  <c r="F161" i="2"/>
  <c r="M160" i="2"/>
  <c r="F160" i="2"/>
  <c r="M159" i="2"/>
  <c r="F159" i="2"/>
  <c r="M158" i="2"/>
  <c r="F158" i="2"/>
  <c r="M157" i="2"/>
  <c r="F157" i="2"/>
  <c r="F156" i="2"/>
  <c r="F155" i="2"/>
  <c r="F154" i="2"/>
  <c r="F153" i="2"/>
  <c r="F152" i="2"/>
  <c r="F151" i="2"/>
  <c r="M150" i="2"/>
  <c r="F150" i="2"/>
  <c r="M149" i="2"/>
  <c r="F149" i="2"/>
  <c r="M148" i="2"/>
  <c r="F148" i="2"/>
  <c r="M147" i="2"/>
  <c r="F147" i="2"/>
  <c r="M146" i="2"/>
  <c r="F146" i="2"/>
  <c r="F145" i="2"/>
  <c r="F144" i="2"/>
  <c r="F143" i="2"/>
  <c r="F142" i="2"/>
  <c r="F141" i="2"/>
  <c r="F140" i="2"/>
  <c r="M139" i="2"/>
  <c r="F139" i="2"/>
  <c r="M138" i="2"/>
  <c r="F138" i="2"/>
  <c r="M137" i="2"/>
  <c r="F137" i="2"/>
  <c r="M136" i="2"/>
  <c r="F136" i="2"/>
  <c r="M135" i="2"/>
  <c r="F135" i="2"/>
  <c r="F134" i="2"/>
  <c r="F133" i="2"/>
  <c r="F132" i="2"/>
  <c r="F130" i="2"/>
  <c r="F129" i="2"/>
  <c r="M128" i="2"/>
  <c r="F128" i="2"/>
  <c r="M127" i="2"/>
  <c r="F127" i="2"/>
  <c r="M126" i="2"/>
  <c r="F126" i="2"/>
  <c r="M125" i="2"/>
  <c r="M124" i="2"/>
  <c r="F124" i="2"/>
  <c r="F111" i="2"/>
  <c r="F110" i="2"/>
  <c r="F109" i="2"/>
  <c r="F108" i="2"/>
  <c r="F107" i="2"/>
  <c r="M106" i="2"/>
  <c r="F106" i="2"/>
  <c r="M105" i="2"/>
  <c r="F105" i="2"/>
  <c r="M104" i="2"/>
  <c r="F104" i="2"/>
  <c r="M103" i="2"/>
  <c r="F103" i="2"/>
  <c r="M102" i="2"/>
  <c r="F101" i="2"/>
  <c r="F100" i="2"/>
  <c r="F99" i="2"/>
  <c r="F98" i="2"/>
  <c r="F97" i="2"/>
  <c r="F96" i="2"/>
  <c r="M95" i="2"/>
  <c r="F95" i="2"/>
  <c r="M94" i="2"/>
  <c r="F94" i="2"/>
  <c r="M93" i="2"/>
  <c r="F93" i="2"/>
  <c r="M92" i="2"/>
  <c r="F92" i="2"/>
  <c r="M91" i="2"/>
  <c r="F91" i="2"/>
  <c r="F90" i="2"/>
  <c r="F89" i="2"/>
  <c r="F88" i="2"/>
  <c r="F87" i="2"/>
  <c r="F86" i="2"/>
  <c r="F85" i="2"/>
  <c r="M84" i="2"/>
  <c r="F84" i="2"/>
  <c r="M83" i="2"/>
  <c r="F83" i="2"/>
  <c r="M82" i="2"/>
  <c r="F82" i="2"/>
  <c r="M81" i="2"/>
  <c r="F81" i="2"/>
  <c r="M80" i="2"/>
  <c r="F80" i="2"/>
  <c r="F79" i="2"/>
  <c r="F78" i="2"/>
  <c r="F77" i="2"/>
  <c r="F76" i="2"/>
  <c r="F75" i="2"/>
  <c r="F74" i="2"/>
  <c r="M73" i="2"/>
  <c r="F73" i="2"/>
  <c r="M72" i="2"/>
  <c r="F72" i="2"/>
  <c r="M71" i="2"/>
  <c r="F71" i="2"/>
  <c r="M70" i="2"/>
  <c r="M69" i="2"/>
  <c r="F69" i="2"/>
  <c r="F68" i="2"/>
  <c r="F56" i="2"/>
  <c r="F55" i="2"/>
  <c r="F54" i="2"/>
  <c r="F53" i="2"/>
  <c r="F52" i="2"/>
  <c r="M51" i="2"/>
  <c r="F51" i="2"/>
  <c r="M50" i="2"/>
  <c r="F50" i="2"/>
  <c r="M49" i="2"/>
  <c r="F49" i="2"/>
  <c r="M48" i="2"/>
  <c r="F48" i="2"/>
  <c r="M47" i="2"/>
  <c r="F47" i="2"/>
  <c r="F46" i="2"/>
  <c r="F45" i="2"/>
  <c r="F44" i="2"/>
  <c r="F43" i="2"/>
  <c r="F42" i="2"/>
  <c r="F41" i="2"/>
  <c r="M40" i="2"/>
  <c r="F40" i="2"/>
  <c r="M39" i="2"/>
  <c r="F39" i="2"/>
  <c r="M38" i="2"/>
  <c r="F38" i="2"/>
  <c r="M37" i="2"/>
  <c r="F37" i="2"/>
  <c r="M36" i="2"/>
  <c r="F36" i="2"/>
  <c r="F35" i="2"/>
  <c r="F34" i="2"/>
  <c r="F33" i="2"/>
  <c r="F32" i="2"/>
  <c r="F31" i="2"/>
  <c r="F30" i="2"/>
  <c r="M29" i="2"/>
  <c r="F29" i="2"/>
  <c r="M28" i="2"/>
  <c r="F28" i="2"/>
  <c r="M27" i="2"/>
  <c r="F27" i="2"/>
  <c r="M26" i="2"/>
  <c r="F26" i="2"/>
  <c r="M25" i="2"/>
  <c r="F25" i="2"/>
  <c r="F24" i="2"/>
  <c r="F23" i="2"/>
  <c r="F22" i="2"/>
  <c r="F21" i="2"/>
  <c r="F20" i="2"/>
  <c r="F19" i="2"/>
  <c r="M18" i="2"/>
  <c r="F18" i="2"/>
  <c r="M17" i="2"/>
  <c r="F17" i="2"/>
  <c r="M16" i="2"/>
  <c r="F16" i="2"/>
  <c r="M15" i="2"/>
  <c r="M14" i="2"/>
  <c r="F14" i="2"/>
  <c r="F200" i="1"/>
  <c r="M271" i="1"/>
  <c r="M270" i="1"/>
  <c r="M269" i="1"/>
  <c r="M268" i="1"/>
  <c r="M267" i="1"/>
  <c r="M266" i="1"/>
  <c r="M260" i="1"/>
  <c r="M259" i="1"/>
  <c r="M258" i="1"/>
  <c r="M257" i="1"/>
  <c r="M256" i="1"/>
  <c r="M255" i="1"/>
  <c r="M249" i="1"/>
  <c r="M248" i="1"/>
  <c r="M247" i="1"/>
  <c r="M246" i="1"/>
  <c r="M245" i="1"/>
  <c r="M244" i="1"/>
  <c r="M238" i="1"/>
  <c r="M237" i="1"/>
  <c r="M236" i="1"/>
  <c r="M235" i="1"/>
  <c r="M234" i="1"/>
  <c r="M233" i="1"/>
  <c r="M216" i="1"/>
  <c r="M215" i="1"/>
  <c r="M214" i="1"/>
  <c r="M213" i="1"/>
  <c r="M212" i="1"/>
  <c r="M211" i="1"/>
  <c r="M205" i="1"/>
  <c r="M204" i="1"/>
  <c r="M203" i="1"/>
  <c r="M202" i="1"/>
  <c r="M201" i="1"/>
  <c r="M200" i="1"/>
  <c r="M194" i="1"/>
  <c r="M193" i="1"/>
  <c r="M192" i="1"/>
  <c r="M191" i="1"/>
  <c r="M190" i="1"/>
  <c r="M189" i="1"/>
  <c r="M183" i="1"/>
  <c r="M182" i="1"/>
  <c r="M181" i="1"/>
  <c r="M180" i="1"/>
  <c r="M179" i="1"/>
  <c r="M178" i="1"/>
  <c r="M161" i="1"/>
  <c r="M160" i="1"/>
  <c r="M159" i="1"/>
  <c r="M158" i="1"/>
  <c r="M157" i="1"/>
  <c r="M156" i="1"/>
  <c r="M150" i="1"/>
  <c r="M149" i="1"/>
  <c r="M148" i="1"/>
  <c r="M147" i="1"/>
  <c r="M146" i="1"/>
  <c r="M145" i="1"/>
  <c r="M139" i="1"/>
  <c r="M138" i="1"/>
  <c r="M137" i="1"/>
  <c r="M136" i="1"/>
  <c r="M135" i="1"/>
  <c r="M134" i="1"/>
  <c r="M128" i="1"/>
  <c r="M127" i="1"/>
  <c r="M126" i="1"/>
  <c r="M125" i="1"/>
  <c r="M124" i="1"/>
  <c r="M106" i="1"/>
  <c r="M105" i="1"/>
  <c r="M104" i="1"/>
  <c r="M103" i="1"/>
  <c r="M102" i="1"/>
  <c r="M101" i="1"/>
  <c r="M95" i="1"/>
  <c r="M94" i="1"/>
  <c r="M93" i="1"/>
  <c r="M92" i="1"/>
  <c r="M91" i="1"/>
  <c r="M90" i="1"/>
  <c r="M84" i="1"/>
  <c r="M83" i="1"/>
  <c r="M82" i="1"/>
  <c r="M81" i="1"/>
  <c r="M80" i="1"/>
  <c r="M79" i="1"/>
  <c r="M73" i="1"/>
  <c r="M72" i="1"/>
  <c r="M71" i="1"/>
  <c r="M70" i="1"/>
  <c r="M69" i="1"/>
  <c r="M68" i="1"/>
  <c r="M51" i="1"/>
  <c r="M50" i="1"/>
  <c r="M49" i="1"/>
  <c r="M48" i="1"/>
  <c r="M47" i="1"/>
  <c r="M46" i="1"/>
  <c r="M40" i="1"/>
  <c r="M39" i="1"/>
  <c r="M38" i="1"/>
  <c r="M37" i="1"/>
  <c r="M36" i="1"/>
  <c r="M35" i="1"/>
  <c r="M29" i="1"/>
  <c r="M28" i="1"/>
  <c r="M27" i="1"/>
  <c r="M26" i="1"/>
  <c r="M25" i="1"/>
  <c r="M24" i="1"/>
  <c r="M18" i="1"/>
  <c r="M17" i="1"/>
  <c r="M16" i="1"/>
  <c r="M15" i="1"/>
  <c r="M14" i="1"/>
  <c r="M13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3" i="1"/>
  <c r="F235" i="1"/>
  <c r="F234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199" i="1"/>
  <c r="F198" i="1"/>
  <c r="F197" i="1"/>
  <c r="F196" i="1"/>
  <c r="F195" i="1"/>
  <c r="F194" i="1"/>
  <c r="F193" i="1"/>
  <c r="F192" i="1"/>
  <c r="F191" i="1"/>
  <c r="F190" i="1"/>
  <c r="F189" i="1"/>
  <c r="F178" i="1"/>
  <c r="F188" i="1"/>
  <c r="F187" i="1"/>
  <c r="F186" i="1"/>
  <c r="F185" i="1"/>
  <c r="F184" i="1"/>
  <c r="F183" i="1"/>
  <c r="F182" i="1"/>
  <c r="F181" i="1"/>
  <c r="F180" i="1"/>
  <c r="F179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M123" i="1" s="1"/>
  <c r="F130" i="1"/>
  <c r="F129" i="1"/>
  <c r="F128" i="1"/>
  <c r="F127" i="1"/>
  <c r="F126" i="1"/>
  <c r="F125" i="1"/>
  <c r="F124" i="1"/>
  <c r="F111" i="1"/>
  <c r="F110" i="1"/>
  <c r="F109" i="1"/>
  <c r="F108" i="1"/>
  <c r="F107" i="1"/>
  <c r="F106" i="1"/>
  <c r="F105" i="1"/>
  <c r="F104" i="1"/>
  <c r="F103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M266" i="2" l="1"/>
  <c r="M123" i="2"/>
  <c r="M134" i="2"/>
  <c r="M178" i="2"/>
  <c r="M211" i="2"/>
  <c r="M255" i="2"/>
  <c r="M90" i="2"/>
  <c r="M145" i="2"/>
  <c r="M200" i="2"/>
  <c r="M79" i="2"/>
  <c r="M233" i="2"/>
  <c r="M189" i="2"/>
  <c r="M68" i="2"/>
  <c r="M101" i="2"/>
  <c r="M156" i="2"/>
  <c r="M244" i="2"/>
  <c r="M35" i="2"/>
  <c r="M13" i="2"/>
  <c r="M46" i="2"/>
  <c r="M24" i="2"/>
</calcChain>
</file>

<file path=xl/sharedStrings.xml><?xml version="1.0" encoding="utf-8"?>
<sst xmlns="http://schemas.openxmlformats.org/spreadsheetml/2006/main" count="809" uniqueCount="18">
  <si>
    <t>Model</t>
  </si>
  <si>
    <t>in_sample_scenarios</t>
  </si>
  <si>
    <t>seed</t>
  </si>
  <si>
    <t>incumbent</t>
  </si>
  <si>
    <t>bestbd</t>
  </si>
  <si>
    <t>gap</t>
  </si>
  <si>
    <t>time</t>
  </si>
  <si>
    <t>Fill Rate</t>
  </si>
  <si>
    <t>Utilization Rate</t>
  </si>
  <si>
    <t>Inventory Service Rate</t>
  </si>
  <si>
    <t>Weighted Avg Price</t>
  </si>
  <si>
    <t>MS_linear</t>
  </si>
  <si>
    <t>AF_EVAL</t>
  </si>
  <si>
    <t>FR</t>
  </si>
  <si>
    <t>UR</t>
  </si>
  <si>
    <t>ISR</t>
  </si>
  <si>
    <t>WAP</t>
  </si>
  <si>
    <t>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</si>
</sst>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2" xfId="0" applyNumberFormat="1" applyBorder="1"/>
    <xf numFmtId="164" fontId="0" fillId="0" borderId="3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164" fontId="0" fillId="0" borderId="7" xfId="0" applyNumberFormat="1" applyBorder="1"/>
    <xf numFmtId="9" fontId="0" fillId="0" borderId="5" xfId="0" applyNumberFormat="1" applyBorder="1"/>
    <xf numFmtId="4" fontId="0" fillId="0" borderId="5" xfId="0" applyNumberFormat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7"/>
  <sheetViews>
    <sheetView topLeftCell="A220" zoomScale="85" zoomScaleNormal="85" workbookViewId="0">
      <selection activeCell="L6" sqref="L6"/>
    </sheetView>
  </sheetViews>
  <sheetFormatPr baseColWidth="10" defaultColWidth="8.7265625" defaultRowHeight="14.5" x14ac:dyDescent="0.35"/>
  <cols>
    <col min="1" max="1" width="8.6328125" bestFit="1" customWidth="1"/>
    <col min="2" max="2" width="17.08984375" bestFit="1" customWidth="1"/>
    <col min="3" max="3" width="5.6328125" customWidth="1"/>
    <col min="4" max="4" width="11.81640625" style="7" bestFit="1" customWidth="1"/>
    <col min="5" max="5" width="11.81640625" style="8" bestFit="1" customWidth="1"/>
    <col min="6" max="6" width="7.7265625" bestFit="1" customWidth="1"/>
    <col min="7" max="7" width="11.81640625" style="5" bestFit="1" customWidth="1"/>
    <col min="8" max="8" width="11.81640625" style="3" bestFit="1" customWidth="1"/>
    <col min="9" max="9" width="12.90625" bestFit="1" customWidth="1"/>
    <col min="10" max="10" width="18.81640625" style="5" bestFit="1" customWidth="1"/>
    <col min="11" max="11" width="16.453125" style="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1" t="s">
        <v>5</v>
      </c>
      <c r="G1" s="4" t="s">
        <v>6</v>
      </c>
      <c r="H1" s="2" t="s">
        <v>7</v>
      </c>
      <c r="I1" s="1" t="s">
        <v>8</v>
      </c>
      <c r="J1" s="4" t="s">
        <v>9</v>
      </c>
      <c r="K1" s="4" t="s">
        <v>10</v>
      </c>
    </row>
    <row r="2" spans="1:14" x14ac:dyDescent="0.35">
      <c r="A2" t="s">
        <v>11</v>
      </c>
      <c r="B2">
        <v>32</v>
      </c>
      <c r="C2">
        <v>5</v>
      </c>
      <c r="D2" s="7">
        <v>2218.9473473224939</v>
      </c>
      <c r="E2" s="8">
        <v>2218.9473473224939</v>
      </c>
      <c r="F2">
        <v>0</v>
      </c>
      <c r="G2" s="5">
        <v>0.27500009536743159</v>
      </c>
      <c r="H2" s="3">
        <v>0.41574192099134322</v>
      </c>
      <c r="I2">
        <v>1</v>
      </c>
      <c r="J2" s="5">
        <v>0.24850105352412299</v>
      </c>
      <c r="K2" s="5">
        <v>56.266810850065227</v>
      </c>
    </row>
    <row r="3" spans="1:14" x14ac:dyDescent="0.35">
      <c r="A3" t="s">
        <v>11</v>
      </c>
      <c r="B3">
        <v>32</v>
      </c>
      <c r="C3">
        <v>6</v>
      </c>
      <c r="D3" s="7">
        <v>2162.477005264514</v>
      </c>
      <c r="E3" s="8">
        <v>2162.477005264514</v>
      </c>
      <c r="F3">
        <v>0</v>
      </c>
      <c r="G3" s="5">
        <v>0.27300000190734858</v>
      </c>
      <c r="H3" s="3">
        <v>0.4817831653411373</v>
      </c>
      <c r="I3">
        <v>1</v>
      </c>
      <c r="J3" s="5">
        <v>0.21456090166120381</v>
      </c>
      <c r="K3" s="5">
        <v>56.459465595796956</v>
      </c>
    </row>
    <row r="4" spans="1:14" x14ac:dyDescent="0.35">
      <c r="A4" t="s">
        <v>11</v>
      </c>
      <c r="B4">
        <v>32</v>
      </c>
      <c r="C4">
        <v>7</v>
      </c>
      <c r="D4" s="7">
        <v>2215.4349273029711</v>
      </c>
      <c r="E4" s="8">
        <v>2215.4349273029711</v>
      </c>
      <c r="F4">
        <v>0</v>
      </c>
      <c r="G4" s="5">
        <v>0.25699996948242188</v>
      </c>
      <c r="H4" s="3">
        <v>0.49349539422165728</v>
      </c>
      <c r="I4">
        <v>1</v>
      </c>
      <c r="J4" s="5">
        <v>0.24296576833731129</v>
      </c>
      <c r="K4" s="5">
        <v>56.235262972225868</v>
      </c>
    </row>
    <row r="5" spans="1:14" x14ac:dyDescent="0.35">
      <c r="A5" t="s">
        <v>11</v>
      </c>
      <c r="B5">
        <v>32</v>
      </c>
      <c r="C5">
        <v>8</v>
      </c>
      <c r="D5" s="7">
        <v>2042.0726111745339</v>
      </c>
      <c r="E5" s="8">
        <v>2042.0726111745339</v>
      </c>
      <c r="F5">
        <v>0</v>
      </c>
      <c r="G5" s="5">
        <v>0.2929999828338623</v>
      </c>
      <c r="H5" s="3">
        <v>0.39058392823695381</v>
      </c>
      <c r="I5">
        <v>1</v>
      </c>
      <c r="J5" s="5">
        <v>0.27376633765811809</v>
      </c>
      <c r="K5" s="5">
        <v>56.064719195330241</v>
      </c>
    </row>
    <row r="6" spans="1:14" x14ac:dyDescent="0.35">
      <c r="A6" t="s">
        <v>11</v>
      </c>
      <c r="B6">
        <v>32</v>
      </c>
      <c r="C6">
        <v>9</v>
      </c>
      <c r="D6" s="7">
        <v>2141.878473298711</v>
      </c>
      <c r="E6" s="8">
        <v>2141.878473298711</v>
      </c>
      <c r="F6">
        <v>0</v>
      </c>
      <c r="G6" s="5">
        <v>0.27400016784667969</v>
      </c>
      <c r="H6" s="3">
        <v>0.42549785121342071</v>
      </c>
      <c r="I6">
        <v>1</v>
      </c>
      <c r="J6" s="5">
        <v>0.23628148056129011</v>
      </c>
      <c r="K6" s="5">
        <v>56.535522694845362</v>
      </c>
    </row>
    <row r="7" spans="1:14" x14ac:dyDescent="0.35">
      <c r="A7" t="s">
        <v>11</v>
      </c>
      <c r="B7">
        <v>32</v>
      </c>
      <c r="C7">
        <v>10</v>
      </c>
      <c r="D7" s="7">
        <v>2209.0211507042918</v>
      </c>
      <c r="E7" s="8">
        <v>2209.0211507042918</v>
      </c>
      <c r="F7">
        <v>0</v>
      </c>
      <c r="G7" s="5">
        <v>0.2929999828338623</v>
      </c>
      <c r="H7" s="3">
        <v>0.54250668654074452</v>
      </c>
      <c r="I7">
        <v>1</v>
      </c>
      <c r="J7" s="5">
        <v>0.24022035427895549</v>
      </c>
      <c r="K7" s="5">
        <v>56.450044919195037</v>
      </c>
    </row>
    <row r="8" spans="1:14" x14ac:dyDescent="0.35">
      <c r="A8" t="s">
        <v>11</v>
      </c>
      <c r="B8">
        <v>32</v>
      </c>
      <c r="C8">
        <v>11</v>
      </c>
      <c r="D8" s="7">
        <v>2153.225350779288</v>
      </c>
      <c r="E8" s="8">
        <v>2153.225350779288</v>
      </c>
      <c r="F8">
        <v>0</v>
      </c>
      <c r="G8" s="5">
        <v>0.28099989891052252</v>
      </c>
      <c r="H8" s="3">
        <v>0.46833048263720423</v>
      </c>
      <c r="I8">
        <v>1</v>
      </c>
      <c r="J8" s="5">
        <v>0.23814207678190891</v>
      </c>
      <c r="K8" s="5">
        <v>56.416251058002231</v>
      </c>
    </row>
    <row r="9" spans="1:14" x14ac:dyDescent="0.35">
      <c r="A9" t="s">
        <v>11</v>
      </c>
      <c r="B9">
        <v>32</v>
      </c>
      <c r="C9">
        <v>12</v>
      </c>
      <c r="D9" s="7">
        <v>2198.66914482332</v>
      </c>
      <c r="E9" s="8">
        <v>2198.66914482332</v>
      </c>
      <c r="F9">
        <v>0</v>
      </c>
      <c r="G9" s="5">
        <v>0.27500009536743159</v>
      </c>
      <c r="H9" s="3">
        <v>0.41024614284433819</v>
      </c>
      <c r="I9">
        <v>1</v>
      </c>
      <c r="J9" s="5">
        <v>0.19237159912038621</v>
      </c>
      <c r="K9" s="5">
        <v>56.428699841175671</v>
      </c>
    </row>
    <row r="10" spans="1:14" x14ac:dyDescent="0.35">
      <c r="A10" t="s">
        <v>11</v>
      </c>
      <c r="B10">
        <v>32</v>
      </c>
      <c r="C10">
        <v>13</v>
      </c>
      <c r="D10" s="7">
        <v>2172.569266152535</v>
      </c>
      <c r="E10" s="8">
        <v>2172.569266152535</v>
      </c>
      <c r="F10">
        <v>0</v>
      </c>
      <c r="G10" s="5">
        <v>0.27600002288818359</v>
      </c>
      <c r="H10" s="3">
        <v>0.49587938550629562</v>
      </c>
      <c r="I10">
        <v>1</v>
      </c>
      <c r="J10" s="5">
        <v>0.23125323730690209</v>
      </c>
      <c r="K10" s="5">
        <v>56.299802618095583</v>
      </c>
    </row>
    <row r="11" spans="1:14" x14ac:dyDescent="0.35">
      <c r="A11" t="s">
        <v>11</v>
      </c>
      <c r="B11">
        <v>32</v>
      </c>
      <c r="C11">
        <v>14</v>
      </c>
      <c r="D11" s="7">
        <v>2098.4748896581309</v>
      </c>
      <c r="E11" s="8">
        <v>2098.4748896581309</v>
      </c>
      <c r="F11">
        <v>0</v>
      </c>
      <c r="G11" s="5">
        <v>0.28200006484985352</v>
      </c>
      <c r="H11" s="3">
        <v>0.50355517158495011</v>
      </c>
      <c r="I11">
        <v>1</v>
      </c>
      <c r="J11" s="5">
        <v>0.25972058709591661</v>
      </c>
      <c r="K11" s="5">
        <v>56.414409155729309</v>
      </c>
    </row>
    <row r="12" spans="1:14" x14ac:dyDescent="0.35">
      <c r="A12" t="s">
        <v>11</v>
      </c>
      <c r="B12">
        <v>32</v>
      </c>
      <c r="C12">
        <v>15</v>
      </c>
      <c r="D12" s="7">
        <v>2368.4075962240208</v>
      </c>
      <c r="E12" s="8">
        <v>2368.4075962240208</v>
      </c>
      <c r="F12">
        <v>0</v>
      </c>
      <c r="G12" s="5">
        <v>0.32899999618530268</v>
      </c>
      <c r="H12" s="3">
        <v>0.5475646350132507</v>
      </c>
      <c r="I12">
        <v>1</v>
      </c>
      <c r="J12" s="5">
        <v>0.21521803993651151</v>
      </c>
      <c r="K12" s="5">
        <v>56.289305985522148</v>
      </c>
    </row>
    <row r="13" spans="1:14" s="11" customFormat="1" x14ac:dyDescent="0.35">
      <c r="A13" s="11" t="s">
        <v>12</v>
      </c>
      <c r="B13" s="11">
        <v>32</v>
      </c>
      <c r="C13" s="11">
        <v>5</v>
      </c>
      <c r="D13" s="12">
        <v>2137.6857942353122</v>
      </c>
      <c r="E13" s="13">
        <v>2137.6857942353122</v>
      </c>
      <c r="F13" s="14">
        <f>($D$2-D13)/$D$2</f>
        <v>3.662166801084147E-2</v>
      </c>
      <c r="G13" s="15">
        <v>52.309608459472663</v>
      </c>
      <c r="H13" s="14">
        <v>0.6427799445234319</v>
      </c>
      <c r="I13" s="11">
        <v>1</v>
      </c>
      <c r="J13" s="15">
        <v>0.23708981558534911</v>
      </c>
      <c r="K13" s="15">
        <v>56.245074124332312</v>
      </c>
      <c r="M13" s="14">
        <f>AVERAGE(F13:F23)</f>
        <v>9.4857159526598067E-2</v>
      </c>
      <c r="N13" s="16" t="s">
        <v>5</v>
      </c>
    </row>
    <row r="14" spans="1:14" x14ac:dyDescent="0.35">
      <c r="A14" t="s">
        <v>12</v>
      </c>
      <c r="B14">
        <v>32</v>
      </c>
      <c r="C14">
        <v>6</v>
      </c>
      <c r="D14" s="7">
        <v>1927.503818620859</v>
      </c>
      <c r="E14" s="8">
        <v>1927.503818620859</v>
      </c>
      <c r="F14" s="3">
        <f>($D$3-D14)/$D$3</f>
        <v>0.1086592764092366</v>
      </c>
      <c r="G14" s="5">
        <v>52.008594036102288</v>
      </c>
      <c r="H14" s="3">
        <v>0.60385958214676261</v>
      </c>
      <c r="I14">
        <v>0.99999999999999989</v>
      </c>
      <c r="J14" s="5">
        <v>0.35113604003163779</v>
      </c>
      <c r="K14" s="5">
        <v>56.375943667041277</v>
      </c>
      <c r="M14" s="3">
        <f>AVERAGE(H13:H23)</f>
        <v>0.59135941278711635</v>
      </c>
      <c r="N14" s="9" t="s">
        <v>13</v>
      </c>
    </row>
    <row r="15" spans="1:14" x14ac:dyDescent="0.35">
      <c r="A15" t="s">
        <v>12</v>
      </c>
      <c r="B15">
        <v>32</v>
      </c>
      <c r="C15">
        <v>7</v>
      </c>
      <c r="D15" s="7">
        <v>2158.7029038859869</v>
      </c>
      <c r="E15" s="8">
        <v>2158.7029038859869</v>
      </c>
      <c r="F15" s="3">
        <f>($D$4-D15)/$D$4</f>
        <v>2.5607623459312681E-2</v>
      </c>
      <c r="G15" s="5">
        <v>54.195129632949829</v>
      </c>
      <c r="H15" s="3">
        <v>0.70187398910384924</v>
      </c>
      <c r="I15">
        <v>1</v>
      </c>
      <c r="J15" s="5">
        <v>0.28986397084858267</v>
      </c>
      <c r="K15" s="5">
        <v>56.298494784714393</v>
      </c>
      <c r="M15">
        <f>AVERAGE(I13:I23)</f>
        <v>1</v>
      </c>
      <c r="N15" s="9" t="s">
        <v>14</v>
      </c>
    </row>
    <row r="16" spans="1:14" x14ac:dyDescent="0.35">
      <c r="A16" t="s">
        <v>12</v>
      </c>
      <c r="B16">
        <v>32</v>
      </c>
      <c r="C16">
        <v>8</v>
      </c>
      <c r="D16" s="7">
        <v>1985.344857674218</v>
      </c>
      <c r="E16" s="8">
        <v>1985.344857674218</v>
      </c>
      <c r="F16" s="3">
        <f>($D$5-D16)/$D$5</f>
        <v>2.7779498725898841E-2</v>
      </c>
      <c r="G16" s="5">
        <v>53.663864374160767</v>
      </c>
      <c r="H16" s="3">
        <v>0.52773553011419261</v>
      </c>
      <c r="I16">
        <v>1</v>
      </c>
      <c r="J16" s="5">
        <v>0.3245675393002741</v>
      </c>
      <c r="K16" s="5">
        <v>56.20112167096493</v>
      </c>
      <c r="M16" s="5">
        <f>AVERAGE(J13:J23)</f>
        <v>0.2999967856989319</v>
      </c>
      <c r="N16" s="9" t="s">
        <v>15</v>
      </c>
    </row>
    <row r="17" spans="1:14" x14ac:dyDescent="0.35">
      <c r="A17" t="s">
        <v>12</v>
      </c>
      <c r="B17">
        <v>32</v>
      </c>
      <c r="C17">
        <v>9</v>
      </c>
      <c r="D17" s="7">
        <v>1840.4851266818689</v>
      </c>
      <c r="E17" s="8">
        <v>1840.4851266818689</v>
      </c>
      <c r="F17" s="3">
        <f>($D$6-D17)/$D$6</f>
        <v>0.14071449448421117</v>
      </c>
      <c r="G17" s="5">
        <v>56.82693076133728</v>
      </c>
      <c r="H17" s="3">
        <v>0.5332518031511948</v>
      </c>
      <c r="I17">
        <v>1</v>
      </c>
      <c r="J17" s="5">
        <v>0.3054547308404687</v>
      </c>
      <c r="K17" s="5">
        <v>56.072979849724817</v>
      </c>
      <c r="M17" s="5">
        <f>AVERAGE(K13:K23)</f>
        <v>56.215287174382958</v>
      </c>
      <c r="N17" s="9" t="s">
        <v>16</v>
      </c>
    </row>
    <row r="18" spans="1:14" x14ac:dyDescent="0.35">
      <c r="A18" t="s">
        <v>12</v>
      </c>
      <c r="B18">
        <v>32</v>
      </c>
      <c r="C18">
        <v>10</v>
      </c>
      <c r="D18" s="7">
        <v>1961.653538467074</v>
      </c>
      <c r="E18" s="8">
        <v>1961.653538467074</v>
      </c>
      <c r="F18" s="3">
        <f>($D$7-D18)/$D$7</f>
        <v>0.11198064453042959</v>
      </c>
      <c r="G18" s="5">
        <v>50.628401041030877</v>
      </c>
      <c r="H18" s="3">
        <v>0.61442735641877222</v>
      </c>
      <c r="I18">
        <v>1</v>
      </c>
      <c r="J18" s="5">
        <v>0.30085543128203979</v>
      </c>
      <c r="K18" s="5">
        <v>56.066718790433669</v>
      </c>
      <c r="M18" s="5">
        <f>AVERAGE(G13:G23)</f>
        <v>53.33255871859464</v>
      </c>
      <c r="N18" s="10" t="s">
        <v>6</v>
      </c>
    </row>
    <row r="19" spans="1:14" x14ac:dyDescent="0.35">
      <c r="A19" t="s">
        <v>12</v>
      </c>
      <c r="B19">
        <v>32</v>
      </c>
      <c r="C19">
        <v>11</v>
      </c>
      <c r="D19" s="7">
        <v>2004.0470271665711</v>
      </c>
      <c r="E19" s="8">
        <v>2004.0470271665711</v>
      </c>
      <c r="F19" s="3">
        <f>($D$8-D19)/$D$8</f>
        <v>6.9281333492904856E-2</v>
      </c>
      <c r="G19" s="5">
        <v>54.281020402908332</v>
      </c>
      <c r="H19" s="3">
        <v>0.63123506182444566</v>
      </c>
      <c r="I19">
        <v>1</v>
      </c>
      <c r="J19" s="5">
        <v>0.30486040630689992</v>
      </c>
      <c r="K19" s="5">
        <v>56.521482519866517</v>
      </c>
    </row>
    <row r="20" spans="1:14" x14ac:dyDescent="0.35">
      <c r="A20" t="s">
        <v>12</v>
      </c>
      <c r="B20">
        <v>32</v>
      </c>
      <c r="C20">
        <v>12</v>
      </c>
      <c r="D20" s="7">
        <v>1856.840827128013</v>
      </c>
      <c r="E20" s="8">
        <v>1856.840827128013</v>
      </c>
      <c r="F20" s="3">
        <f>($D$9-D20)/$D$9</f>
        <v>0.15547055749616917</v>
      </c>
      <c r="G20" s="5">
        <v>56.210603952407837</v>
      </c>
      <c r="H20" s="3">
        <v>0.52117445841564125</v>
      </c>
      <c r="I20">
        <v>1</v>
      </c>
      <c r="J20" s="5">
        <v>0.31313033126576711</v>
      </c>
      <c r="K20" s="5">
        <v>55.475588949723253</v>
      </c>
    </row>
    <row r="21" spans="1:14" x14ac:dyDescent="0.35">
      <c r="A21" t="s">
        <v>12</v>
      </c>
      <c r="B21">
        <v>32</v>
      </c>
      <c r="C21">
        <v>13</v>
      </c>
      <c r="D21" s="7">
        <v>1964.3517218808879</v>
      </c>
      <c r="E21" s="8">
        <v>1964.3517218808879</v>
      </c>
      <c r="F21" s="3">
        <f>($D$10-D21)/$D$10</f>
        <v>9.5839312244523023E-2</v>
      </c>
      <c r="G21" s="5">
        <v>52.950485706329353</v>
      </c>
      <c r="H21" s="3">
        <v>0.54131630073145265</v>
      </c>
      <c r="I21">
        <v>1</v>
      </c>
      <c r="J21" s="5">
        <v>0.26315561691692818</v>
      </c>
      <c r="K21" s="5">
        <v>56.180195606092617</v>
      </c>
    </row>
    <row r="22" spans="1:14" x14ac:dyDescent="0.35">
      <c r="A22" t="s">
        <v>12</v>
      </c>
      <c r="B22">
        <v>32</v>
      </c>
      <c r="C22">
        <v>14</v>
      </c>
      <c r="D22" s="7">
        <v>1874.987640208215</v>
      </c>
      <c r="E22" s="8">
        <v>1874.987640208215</v>
      </c>
      <c r="F22" s="3">
        <f>($D$11-D22)/$D$11</f>
        <v>0.10649984450675266</v>
      </c>
      <c r="G22" s="5">
        <v>53.981469869613647</v>
      </c>
      <c r="H22" s="3">
        <v>0.50981847067517605</v>
      </c>
      <c r="I22">
        <v>1</v>
      </c>
      <c r="J22" s="5">
        <v>0.31969334804384958</v>
      </c>
      <c r="K22" s="5">
        <v>56.30117844324446</v>
      </c>
    </row>
    <row r="23" spans="1:14" x14ac:dyDescent="0.35">
      <c r="A23" t="s">
        <v>12</v>
      </c>
      <c r="B23">
        <v>32</v>
      </c>
      <c r="C23">
        <v>15</v>
      </c>
      <c r="D23" s="7">
        <v>1977.6807338484939</v>
      </c>
      <c r="E23" s="8">
        <v>1977.6807338484939</v>
      </c>
      <c r="F23" s="3">
        <f>($D$12-D23)/$D$12</f>
        <v>0.16497450143229875</v>
      </c>
      <c r="G23" s="5">
        <v>49.602037668228149</v>
      </c>
      <c r="H23" s="3">
        <v>0.67748104355336058</v>
      </c>
      <c r="I23">
        <v>1</v>
      </c>
      <c r="J23" s="5">
        <v>0.29015741226645392</v>
      </c>
      <c r="K23" s="5">
        <v>56.629380512074171</v>
      </c>
    </row>
    <row r="24" spans="1:14" s="11" customFormat="1" x14ac:dyDescent="0.35">
      <c r="A24" s="11" t="s">
        <v>12</v>
      </c>
      <c r="B24" s="11">
        <v>32</v>
      </c>
      <c r="C24" s="11">
        <v>5</v>
      </c>
      <c r="D24" s="12">
        <v>1913.946108709509</v>
      </c>
      <c r="E24" s="13">
        <v>1913.946108709509</v>
      </c>
      <c r="F24" s="14">
        <f>($D$2-D24)/$D$2</f>
        <v>0.13745312117523495</v>
      </c>
      <c r="G24" s="15">
        <v>51.387386322021477</v>
      </c>
      <c r="H24" s="14">
        <v>0.28447663375890941</v>
      </c>
      <c r="I24" s="11">
        <v>1</v>
      </c>
      <c r="J24" s="15">
        <v>0.23340983830509601</v>
      </c>
      <c r="K24" s="15">
        <v>55.204033381698743</v>
      </c>
      <c r="M24" s="14">
        <f>AVERAGE(F24:F34)</f>
        <v>0.20587815713677793</v>
      </c>
      <c r="N24" s="16" t="s">
        <v>5</v>
      </c>
    </row>
    <row r="25" spans="1:14" x14ac:dyDescent="0.35">
      <c r="A25" t="s">
        <v>12</v>
      </c>
      <c r="B25">
        <v>32</v>
      </c>
      <c r="C25">
        <v>6</v>
      </c>
      <c r="D25" s="7">
        <v>1499.251274933742</v>
      </c>
      <c r="E25" s="8">
        <v>1499.251274933742</v>
      </c>
      <c r="F25" s="3">
        <f>($D$3-D25)/$D$3</f>
        <v>0.30669724057928016</v>
      </c>
      <c r="G25" s="5">
        <v>52.456309080123901</v>
      </c>
      <c r="H25" s="3">
        <v>0.19341097271300239</v>
      </c>
      <c r="I25">
        <v>1</v>
      </c>
      <c r="J25" s="5">
        <v>0.25736556407083377</v>
      </c>
      <c r="K25" s="5">
        <v>55.791009050573457</v>
      </c>
      <c r="M25" s="3">
        <f>AVERAGE(H24:H34)</f>
        <v>0.26620788359212999</v>
      </c>
      <c r="N25" s="9" t="s">
        <v>13</v>
      </c>
    </row>
    <row r="26" spans="1:14" x14ac:dyDescent="0.35">
      <c r="A26" t="s">
        <v>12</v>
      </c>
      <c r="B26">
        <v>32</v>
      </c>
      <c r="C26">
        <v>7</v>
      </c>
      <c r="D26" s="7">
        <v>1619.657259928731</v>
      </c>
      <c r="E26" s="8">
        <v>1619.657259928731</v>
      </c>
      <c r="F26" s="3">
        <f>($D$4-D26)/$D$4</f>
        <v>0.26892131203308628</v>
      </c>
      <c r="G26" s="5">
        <v>52.286494255065918</v>
      </c>
      <c r="H26" s="3">
        <v>0.20929313423408391</v>
      </c>
      <c r="I26">
        <v>1</v>
      </c>
      <c r="J26" s="5">
        <v>0.30943513674149131</v>
      </c>
      <c r="K26" s="5">
        <v>56.164826180014643</v>
      </c>
      <c r="M26">
        <f>AVERAGE(I24:I34)</f>
        <v>1</v>
      </c>
      <c r="N26" s="9" t="s">
        <v>14</v>
      </c>
    </row>
    <row r="27" spans="1:14" x14ac:dyDescent="0.35">
      <c r="A27" t="s">
        <v>12</v>
      </c>
      <c r="B27">
        <v>32</v>
      </c>
      <c r="C27">
        <v>8</v>
      </c>
      <c r="D27" s="7">
        <v>1734.1557885596769</v>
      </c>
      <c r="E27" s="8">
        <v>1734.1557885596769</v>
      </c>
      <c r="F27" s="3">
        <f>($D$5-D27)/$D$5</f>
        <v>0.15078642205467571</v>
      </c>
      <c r="G27" s="5">
        <v>56.663535594940193</v>
      </c>
      <c r="H27" s="3">
        <v>0.31462702074453908</v>
      </c>
      <c r="I27">
        <v>1</v>
      </c>
      <c r="J27" s="5">
        <v>0.29276160965720083</v>
      </c>
      <c r="K27" s="5">
        <v>56.844329856871418</v>
      </c>
      <c r="M27" s="5">
        <f>AVERAGE(J24:J34)</f>
        <v>0.28649260219936518</v>
      </c>
      <c r="N27" s="9" t="s">
        <v>15</v>
      </c>
    </row>
    <row r="28" spans="1:14" x14ac:dyDescent="0.35">
      <c r="A28" t="s">
        <v>12</v>
      </c>
      <c r="B28">
        <v>32</v>
      </c>
      <c r="C28">
        <v>9</v>
      </c>
      <c r="D28" s="7">
        <v>1787.917144884407</v>
      </c>
      <c r="E28" s="8">
        <v>1787.917144884407</v>
      </c>
      <c r="F28" s="3">
        <f>($D$6-D28)/$D$6</f>
        <v>0.16525742838675975</v>
      </c>
      <c r="G28" s="5">
        <v>54.11471962928772</v>
      </c>
      <c r="H28" s="3">
        <v>0.29610642080552291</v>
      </c>
      <c r="I28">
        <v>1</v>
      </c>
      <c r="J28" s="5">
        <v>0.30175468148764661</v>
      </c>
      <c r="K28" s="5">
        <v>56.364306948051933</v>
      </c>
      <c r="M28" s="5">
        <f>AVERAGE(K24:K34)</f>
        <v>56.102896857413405</v>
      </c>
      <c r="N28" s="9" t="s">
        <v>16</v>
      </c>
    </row>
    <row r="29" spans="1:14" x14ac:dyDescent="0.35">
      <c r="A29" t="s">
        <v>12</v>
      </c>
      <c r="B29">
        <v>32</v>
      </c>
      <c r="C29">
        <v>10</v>
      </c>
      <c r="D29" s="7">
        <v>1598.1357960039879</v>
      </c>
      <c r="E29" s="8">
        <v>1598.1357960039879</v>
      </c>
      <c r="F29" s="3">
        <f>($D$7-D29)/$D$7</f>
        <v>0.27654119767279645</v>
      </c>
      <c r="G29" s="5">
        <v>54.134124994277947</v>
      </c>
      <c r="H29" s="3">
        <v>0.13544309520500011</v>
      </c>
      <c r="I29">
        <v>1</v>
      </c>
      <c r="J29" s="5">
        <v>0.26961870344101058</v>
      </c>
      <c r="K29" s="5">
        <v>56.112600771841578</v>
      </c>
      <c r="M29" s="5">
        <f>AVERAGE(G24:G34)</f>
        <v>54.083701220425695</v>
      </c>
      <c r="N29" s="10" t="s">
        <v>6</v>
      </c>
    </row>
    <row r="30" spans="1:14" x14ac:dyDescent="0.35">
      <c r="A30" t="s">
        <v>12</v>
      </c>
      <c r="B30">
        <v>32</v>
      </c>
      <c r="C30">
        <v>11</v>
      </c>
      <c r="D30" s="7">
        <v>1797.697493591093</v>
      </c>
      <c r="E30" s="8">
        <v>1797.697493591093</v>
      </c>
      <c r="F30" s="3">
        <f>($D$8-D30)/$D$8</f>
        <v>0.16511409595819757</v>
      </c>
      <c r="G30" s="5">
        <v>57.488458871841431</v>
      </c>
      <c r="H30" s="3">
        <v>0.27670802841177627</v>
      </c>
      <c r="I30">
        <v>1</v>
      </c>
      <c r="J30" s="5">
        <v>0.30166636677131681</v>
      </c>
      <c r="K30" s="5">
        <v>56.026322968658882</v>
      </c>
    </row>
    <row r="31" spans="1:14" x14ac:dyDescent="0.35">
      <c r="A31" t="s">
        <v>12</v>
      </c>
      <c r="B31">
        <v>32</v>
      </c>
      <c r="C31">
        <v>12</v>
      </c>
      <c r="D31" s="7">
        <v>1809.44154885685</v>
      </c>
      <c r="E31" s="8">
        <v>1809.44154885685</v>
      </c>
      <c r="F31" s="3">
        <f>($D$9-D31)/$D$9</f>
        <v>0.17702872525540786</v>
      </c>
      <c r="G31" s="5">
        <v>55.449227571487427</v>
      </c>
      <c r="H31" s="3">
        <v>0.35449848577041593</v>
      </c>
      <c r="I31">
        <v>0.99999999999999978</v>
      </c>
      <c r="J31" s="5">
        <v>0.35371561976392241</v>
      </c>
      <c r="K31" s="5">
        <v>55.932633476391239</v>
      </c>
    </row>
    <row r="32" spans="1:14" x14ac:dyDescent="0.35">
      <c r="A32" t="s">
        <v>12</v>
      </c>
      <c r="B32">
        <v>32</v>
      </c>
      <c r="C32">
        <v>13</v>
      </c>
      <c r="D32" s="7">
        <v>1911.32248631077</v>
      </c>
      <c r="E32" s="8">
        <v>1911.32248631077</v>
      </c>
      <c r="F32" s="3">
        <f>($D$10-D32)/$D$10</f>
        <v>0.12024784844002434</v>
      </c>
      <c r="G32" s="5">
        <v>53.560631275177002</v>
      </c>
      <c r="H32" s="3">
        <v>0.41038719876624857</v>
      </c>
      <c r="I32">
        <v>0.99999999999999989</v>
      </c>
      <c r="J32" s="5">
        <v>0.27065785646544421</v>
      </c>
      <c r="K32" s="5">
        <v>56.195542770329311</v>
      </c>
    </row>
    <row r="33" spans="1:14" x14ac:dyDescent="0.35">
      <c r="A33" t="s">
        <v>12</v>
      </c>
      <c r="B33">
        <v>32</v>
      </c>
      <c r="C33">
        <v>14</v>
      </c>
      <c r="D33" s="7">
        <v>1675.643610585875</v>
      </c>
      <c r="E33" s="8">
        <v>1675.643610585875</v>
      </c>
      <c r="F33" s="3">
        <f>($D$11-D33)/$D$11</f>
        <v>0.20149456214896178</v>
      </c>
      <c r="G33" s="5">
        <v>55.030760049819953</v>
      </c>
      <c r="H33" s="3">
        <v>0.25749382063792481</v>
      </c>
      <c r="I33">
        <v>1</v>
      </c>
      <c r="J33" s="5">
        <v>0.29614921692501572</v>
      </c>
      <c r="K33" s="5">
        <v>56.183619445392097</v>
      </c>
    </row>
    <row r="34" spans="1:14" x14ac:dyDescent="0.35">
      <c r="A34" t="s">
        <v>12</v>
      </c>
      <c r="B34">
        <v>32</v>
      </c>
      <c r="C34">
        <v>15</v>
      </c>
      <c r="D34" s="7">
        <v>1669.4484166066579</v>
      </c>
      <c r="E34" s="8">
        <v>1669.4484166066579</v>
      </c>
      <c r="F34" s="3">
        <f>($D$12-D34)/$D$12</f>
        <v>0.29511777480013213</v>
      </c>
      <c r="G34" s="5">
        <v>52.349065780639648</v>
      </c>
      <c r="H34" s="3">
        <v>0.1958419084660068</v>
      </c>
      <c r="I34">
        <v>1</v>
      </c>
      <c r="J34" s="5">
        <v>0.26488403056403859</v>
      </c>
      <c r="K34" s="5">
        <v>56.312640581724203</v>
      </c>
    </row>
    <row r="35" spans="1:14" s="11" customFormat="1" x14ac:dyDescent="0.35">
      <c r="A35" s="11" t="s">
        <v>12</v>
      </c>
      <c r="B35" s="11">
        <v>32</v>
      </c>
      <c r="C35" s="11">
        <v>5</v>
      </c>
      <c r="D35" s="12">
        <v>1966.5186169080559</v>
      </c>
      <c r="E35" s="13">
        <v>1966.5186169080559</v>
      </c>
      <c r="F35" s="14">
        <f>($D$2-D35)/$D$2</f>
        <v>0.11376057693258589</v>
      </c>
      <c r="G35" s="15">
        <v>55.566773176193237</v>
      </c>
      <c r="H35" s="14">
        <v>0.40576452758995779</v>
      </c>
      <c r="I35" s="11">
        <v>1</v>
      </c>
      <c r="J35" s="15">
        <v>0.23626193123248079</v>
      </c>
      <c r="K35" s="15">
        <v>56.15145813717438</v>
      </c>
      <c r="M35" s="14">
        <f>AVERAGE(F35:F45)</f>
        <v>0.14833909595335884</v>
      </c>
      <c r="N35" s="16" t="s">
        <v>5</v>
      </c>
    </row>
    <row r="36" spans="1:14" x14ac:dyDescent="0.35">
      <c r="A36" t="s">
        <v>12</v>
      </c>
      <c r="B36">
        <v>32</v>
      </c>
      <c r="C36">
        <v>6</v>
      </c>
      <c r="D36" s="7">
        <v>1723.4965249861821</v>
      </c>
      <c r="E36" s="8">
        <v>1723.4965249861821</v>
      </c>
      <c r="F36" s="3">
        <f>($D$3-D36)/$D$3</f>
        <v>0.2029989124553192</v>
      </c>
      <c r="G36" s="5">
        <v>58.807743072509773</v>
      </c>
      <c r="H36" s="3">
        <v>0.32943983169543029</v>
      </c>
      <c r="I36">
        <v>0.99999898379178398</v>
      </c>
      <c r="J36" s="5">
        <v>0.36456016932655327</v>
      </c>
      <c r="K36" s="5">
        <v>56.156489616094341</v>
      </c>
      <c r="M36" s="3">
        <f>AVERAGE(H35:H45)</f>
        <v>0.3757870250974929</v>
      </c>
      <c r="N36" s="9" t="s">
        <v>13</v>
      </c>
    </row>
    <row r="37" spans="1:14" x14ac:dyDescent="0.35">
      <c r="A37" t="s">
        <v>12</v>
      </c>
      <c r="B37">
        <v>32</v>
      </c>
      <c r="C37">
        <v>7</v>
      </c>
      <c r="D37" s="7">
        <v>2008.0494564508581</v>
      </c>
      <c r="E37" s="8">
        <v>2008.0494564508581</v>
      </c>
      <c r="F37" s="3">
        <f>($D$4-D37)/$D$4</f>
        <v>9.3609371368257796E-2</v>
      </c>
      <c r="G37" s="5">
        <v>54.68979024887085</v>
      </c>
      <c r="H37" s="3">
        <v>0.43308252761515792</v>
      </c>
      <c r="I37">
        <v>1</v>
      </c>
      <c r="J37" s="5">
        <v>0.28496228571417292</v>
      </c>
      <c r="K37" s="5">
        <v>56.46248492514647</v>
      </c>
      <c r="M37">
        <f>AVERAGE(I35:I45)</f>
        <v>0.99999758029273356</v>
      </c>
      <c r="N37" s="9" t="s">
        <v>14</v>
      </c>
    </row>
    <row r="38" spans="1:14" x14ac:dyDescent="0.35">
      <c r="A38" t="s">
        <v>12</v>
      </c>
      <c r="B38">
        <v>32</v>
      </c>
      <c r="C38">
        <v>8</v>
      </c>
      <c r="D38" s="7">
        <v>1893.6620088083221</v>
      </c>
      <c r="E38" s="8">
        <v>1893.6620088083221</v>
      </c>
      <c r="F38" s="3">
        <f>($D$5-D38)/$D$5</f>
        <v>7.2676457024146102E-2</v>
      </c>
      <c r="G38" s="5">
        <v>56.055344581603997</v>
      </c>
      <c r="H38" s="3">
        <v>0.36549510779891481</v>
      </c>
      <c r="I38">
        <v>0.99999999999999989</v>
      </c>
      <c r="J38" s="5">
        <v>0.31639498359012852</v>
      </c>
      <c r="K38" s="5">
        <v>56.340399210865343</v>
      </c>
      <c r="M38" s="5">
        <f>AVERAGE(J35:J45)</f>
        <v>0.30209222635965127</v>
      </c>
      <c r="N38" s="9" t="s">
        <v>15</v>
      </c>
    </row>
    <row r="39" spans="1:14" x14ac:dyDescent="0.35">
      <c r="A39" t="s">
        <v>12</v>
      </c>
      <c r="B39">
        <v>32</v>
      </c>
      <c r="C39">
        <v>9</v>
      </c>
      <c r="D39" s="7">
        <v>1759.1334789088819</v>
      </c>
      <c r="E39" s="8">
        <v>1759.1334789088819</v>
      </c>
      <c r="F39" s="3">
        <f>($D$6-D39)/$D$6</f>
        <v>0.17869594337925385</v>
      </c>
      <c r="G39" s="5">
        <v>58.935643434524543</v>
      </c>
      <c r="H39" s="3">
        <v>0.39145489768545921</v>
      </c>
      <c r="I39">
        <v>1</v>
      </c>
      <c r="J39" s="5">
        <v>0.30911992517782161</v>
      </c>
      <c r="K39" s="5">
        <v>55.963728710091502</v>
      </c>
      <c r="M39" s="5">
        <f>AVERAGE(K35:K45)</f>
        <v>56.176978575090743</v>
      </c>
      <c r="N39" s="9" t="s">
        <v>16</v>
      </c>
    </row>
    <row r="40" spans="1:14" x14ac:dyDescent="0.35">
      <c r="A40" t="s">
        <v>12</v>
      </c>
      <c r="B40">
        <v>32</v>
      </c>
      <c r="C40">
        <v>10</v>
      </c>
      <c r="D40" s="7">
        <v>1904.4363007246809</v>
      </c>
      <c r="E40" s="8">
        <v>1904.4363007246809</v>
      </c>
      <c r="F40" s="3">
        <f>($D$7-D40)/$D$7</f>
        <v>0.13788226965708389</v>
      </c>
      <c r="G40" s="5">
        <v>56.917982578277588</v>
      </c>
      <c r="H40" s="3">
        <v>0.40766291161695067</v>
      </c>
      <c r="I40">
        <v>1</v>
      </c>
      <c r="J40" s="5">
        <v>0.3026283120186597</v>
      </c>
      <c r="K40" s="5">
        <v>56.169708101585201</v>
      </c>
      <c r="M40" s="5">
        <f>AVERAGE(G35:G45)</f>
        <v>57.824089245362714</v>
      </c>
      <c r="N40" s="10" t="s">
        <v>6</v>
      </c>
    </row>
    <row r="41" spans="1:14" x14ac:dyDescent="0.35">
      <c r="A41" t="s">
        <v>12</v>
      </c>
      <c r="B41">
        <v>32</v>
      </c>
      <c r="C41">
        <v>11</v>
      </c>
      <c r="D41" s="7">
        <v>1881.8306827920719</v>
      </c>
      <c r="E41" s="8">
        <v>1881.8306827920719</v>
      </c>
      <c r="F41" s="3">
        <f>($D$8-D41)/$D$8</f>
        <v>0.12604099607548919</v>
      </c>
      <c r="G41" s="5">
        <v>56.683826923370361</v>
      </c>
      <c r="H41" s="3">
        <v>0.38797401754724792</v>
      </c>
      <c r="I41">
        <v>1</v>
      </c>
      <c r="J41" s="5">
        <v>0.29896654205496809</v>
      </c>
      <c r="K41" s="5">
        <v>56.108210582710107</v>
      </c>
    </row>
    <row r="42" spans="1:14" x14ac:dyDescent="0.35">
      <c r="A42" t="s">
        <v>12</v>
      </c>
      <c r="B42">
        <v>32</v>
      </c>
      <c r="C42">
        <v>12</v>
      </c>
      <c r="D42" s="7">
        <v>1808.5160207111751</v>
      </c>
      <c r="E42" s="8">
        <v>1808.5160207111751</v>
      </c>
      <c r="F42" s="3">
        <f>($D$9-D42)/$D$9</f>
        <v>0.17744967451366891</v>
      </c>
      <c r="G42" s="5">
        <v>70.125951766967773</v>
      </c>
      <c r="H42" s="3">
        <v>0.34232263653082218</v>
      </c>
      <c r="I42">
        <v>1</v>
      </c>
      <c r="J42" s="5">
        <v>0.36586153164363561</v>
      </c>
      <c r="K42" s="5">
        <v>55.996735815363117</v>
      </c>
    </row>
    <row r="43" spans="1:14" x14ac:dyDescent="0.35">
      <c r="A43" t="s">
        <v>12</v>
      </c>
      <c r="B43">
        <v>32</v>
      </c>
      <c r="C43">
        <v>13</v>
      </c>
      <c r="D43" s="7">
        <v>1838.194324528776</v>
      </c>
      <c r="E43" s="8">
        <v>1838.194324528776</v>
      </c>
      <c r="F43" s="3">
        <f>($D$10-D43)/$D$10</f>
        <v>0.15390760922247287</v>
      </c>
      <c r="G43" s="5">
        <v>54.100781440734863</v>
      </c>
      <c r="H43" s="3">
        <v>0.38654677667436937</v>
      </c>
      <c r="I43">
        <v>0.99997876201917446</v>
      </c>
      <c r="J43" s="5">
        <v>0.25983320921781972</v>
      </c>
      <c r="K43" s="5">
        <v>56.125580269974037</v>
      </c>
    </row>
    <row r="44" spans="1:14" x14ac:dyDescent="0.35">
      <c r="A44" t="s">
        <v>12</v>
      </c>
      <c r="B44">
        <v>32</v>
      </c>
      <c r="C44">
        <v>14</v>
      </c>
      <c r="D44" s="7">
        <v>1780.1092034234021</v>
      </c>
      <c r="E44" s="8">
        <v>1780.1092034234021</v>
      </c>
      <c r="F44" s="3">
        <f>($D$11-D44)/$D$11</f>
        <v>0.15171288815688178</v>
      </c>
      <c r="G44" s="5">
        <v>57.324630975723267</v>
      </c>
      <c r="H44" s="3">
        <v>0.34217762248270051</v>
      </c>
      <c r="I44">
        <v>0.99999563740911146</v>
      </c>
      <c r="J44" s="5">
        <v>0.30664247973644138</v>
      </c>
      <c r="K44" s="5">
        <v>56.201249471021228</v>
      </c>
    </row>
    <row r="45" spans="1:14" x14ac:dyDescent="0.35">
      <c r="A45" t="s">
        <v>12</v>
      </c>
      <c r="B45">
        <v>32</v>
      </c>
      <c r="C45">
        <v>15</v>
      </c>
      <c r="D45" s="7">
        <v>1840.263699488821</v>
      </c>
      <c r="E45" s="8">
        <v>1840.263699488821</v>
      </c>
      <c r="F45" s="3">
        <f>($D$12-D45)/$D$12</f>
        <v>0.22299535670178802</v>
      </c>
      <c r="G45" s="5">
        <v>56.856513500213623</v>
      </c>
      <c r="H45" s="3">
        <v>0.34173641883541162</v>
      </c>
      <c r="I45">
        <v>0.99999999999999989</v>
      </c>
      <c r="J45" s="5">
        <v>0.27778312024348228</v>
      </c>
      <c r="K45" s="5">
        <v>56.2707194859724</v>
      </c>
    </row>
    <row r="46" spans="1:14" s="11" customFormat="1" x14ac:dyDescent="0.35">
      <c r="A46" s="11" t="s">
        <v>12</v>
      </c>
      <c r="B46" s="11">
        <v>32</v>
      </c>
      <c r="C46" s="11">
        <v>5</v>
      </c>
      <c r="D46" s="12">
        <v>1723.3767948357499</v>
      </c>
      <c r="E46" s="13">
        <v>1723.3767948357499</v>
      </c>
      <c r="F46" s="14">
        <f>($D$2-D46)/$D$2</f>
        <v>0.22333587729547849</v>
      </c>
      <c r="G46" s="15">
        <v>61.190654516220093</v>
      </c>
      <c r="H46" s="14">
        <v>0.20548394873004919</v>
      </c>
      <c r="I46" s="11">
        <v>1</v>
      </c>
      <c r="J46" s="15">
        <v>0.21141346002780961</v>
      </c>
      <c r="K46" s="15">
        <v>56.081230345360282</v>
      </c>
      <c r="M46" s="14">
        <f>AVERAGE(F46:F56)</f>
        <v>0.24745294294752093</v>
      </c>
      <c r="N46" s="16" t="s">
        <v>5</v>
      </c>
    </row>
    <row r="47" spans="1:14" x14ac:dyDescent="0.35">
      <c r="A47" t="s">
        <v>12</v>
      </c>
      <c r="B47">
        <v>32</v>
      </c>
      <c r="C47">
        <v>6</v>
      </c>
      <c r="D47" s="7">
        <v>1352.4917389641089</v>
      </c>
      <c r="E47" s="8">
        <v>1352.4917389641089</v>
      </c>
      <c r="F47" s="3">
        <f>($D$3-D47)/$D$3</f>
        <v>0.37456364360338146</v>
      </c>
      <c r="G47" s="5">
        <v>63.132769584655762</v>
      </c>
      <c r="H47" s="3">
        <v>0.10312508033035871</v>
      </c>
      <c r="I47">
        <v>0.99997966969656071</v>
      </c>
      <c r="J47" s="5">
        <v>0.27820316254718902</v>
      </c>
      <c r="K47" s="5">
        <v>57.260941731469508</v>
      </c>
      <c r="M47" s="3">
        <f>AVERAGE(H46:H56)</f>
        <v>0.21796591843116103</v>
      </c>
      <c r="N47" s="9" t="s">
        <v>13</v>
      </c>
    </row>
    <row r="48" spans="1:14" x14ac:dyDescent="0.35">
      <c r="A48" t="s">
        <v>12</v>
      </c>
      <c r="B48">
        <v>32</v>
      </c>
      <c r="C48">
        <v>7</v>
      </c>
      <c r="D48" s="7">
        <v>1826.4048329508789</v>
      </c>
      <c r="E48" s="8">
        <v>1826.4048329508789</v>
      </c>
      <c r="F48" s="3">
        <f>($D$4-D48)/$D$4</f>
        <v>0.17559987411848296</v>
      </c>
      <c r="G48" s="5">
        <v>56.558303117752082</v>
      </c>
      <c r="H48" s="3">
        <v>0.28427921093924108</v>
      </c>
      <c r="I48">
        <v>1</v>
      </c>
      <c r="J48" s="5">
        <v>0.25275624859851609</v>
      </c>
      <c r="K48" s="5">
        <v>55.439970325848407</v>
      </c>
      <c r="M48">
        <f>AVERAGE(I46:I56)</f>
        <v>0.99998892910275894</v>
      </c>
      <c r="N48" s="9" t="s">
        <v>14</v>
      </c>
    </row>
    <row r="49" spans="1:14" x14ac:dyDescent="0.35">
      <c r="A49" t="s">
        <v>12</v>
      </c>
      <c r="B49">
        <v>32</v>
      </c>
      <c r="C49">
        <v>8</v>
      </c>
      <c r="D49" s="7">
        <v>1642.9442737289951</v>
      </c>
      <c r="E49" s="8">
        <v>1642.9442737289951</v>
      </c>
      <c r="F49" s="3">
        <f>($D$5-D49)/$D$5</f>
        <v>0.19545256875854827</v>
      </c>
      <c r="G49" s="5">
        <v>55.448278427124023</v>
      </c>
      <c r="H49" s="3">
        <v>0.2170796869040342</v>
      </c>
      <c r="I49">
        <v>0.99997243458631957</v>
      </c>
      <c r="J49" s="5">
        <v>0.29399227660774507</v>
      </c>
      <c r="K49" s="5">
        <v>56.977698534377417</v>
      </c>
      <c r="M49" s="5">
        <f>AVERAGE(J46:J56)</f>
        <v>0.28319910445688296</v>
      </c>
      <c r="N49" s="9" t="s">
        <v>15</v>
      </c>
    </row>
    <row r="50" spans="1:14" x14ac:dyDescent="0.35">
      <c r="A50" t="s">
        <v>12</v>
      </c>
      <c r="B50">
        <v>32</v>
      </c>
      <c r="C50">
        <v>9</v>
      </c>
      <c r="D50" s="7">
        <v>1639.148884791455</v>
      </c>
      <c r="E50" s="8">
        <v>1639.148884791455</v>
      </c>
      <c r="F50" s="3">
        <f>($D$6-D50)/$D$6</f>
        <v>0.23471433826635424</v>
      </c>
      <c r="G50" s="5">
        <v>55.621507883071899</v>
      </c>
      <c r="H50" s="3">
        <v>0.21108391360214329</v>
      </c>
      <c r="I50">
        <v>0.99998490374204518</v>
      </c>
      <c r="J50" s="5">
        <v>0.29347257726335052</v>
      </c>
      <c r="K50" s="5">
        <v>56.078239507738047</v>
      </c>
      <c r="M50" s="5">
        <f>AVERAGE(K46:K56)</f>
        <v>56.104389407496143</v>
      </c>
      <c r="N50" s="9" t="s">
        <v>16</v>
      </c>
    </row>
    <row r="51" spans="1:14" x14ac:dyDescent="0.35">
      <c r="A51" t="s">
        <v>12</v>
      </c>
      <c r="B51">
        <v>32</v>
      </c>
      <c r="C51">
        <v>10</v>
      </c>
      <c r="D51" s="7">
        <v>1522.798025991674</v>
      </c>
      <c r="E51" s="8">
        <v>1522.798025991674</v>
      </c>
      <c r="F51" s="3">
        <f>($D$7-D51)/$D$7</f>
        <v>0.31064579191278119</v>
      </c>
      <c r="G51" s="5">
        <v>60.169609069824219</v>
      </c>
      <c r="H51" s="3">
        <v>0.141346864371548</v>
      </c>
      <c r="I51">
        <v>0.99996823819630998</v>
      </c>
      <c r="J51" s="5">
        <v>0.32410504713681831</v>
      </c>
      <c r="K51" s="5">
        <v>56.529193471225447</v>
      </c>
      <c r="M51" s="5">
        <f>AVERAGE(G46:G56)</f>
        <v>58.47693133354187</v>
      </c>
      <c r="N51" s="10" t="s">
        <v>6</v>
      </c>
    </row>
    <row r="52" spans="1:14" x14ac:dyDescent="0.35">
      <c r="A52" t="s">
        <v>12</v>
      </c>
      <c r="B52">
        <v>32</v>
      </c>
      <c r="C52">
        <v>11</v>
      </c>
      <c r="D52" s="7">
        <v>1624.452791547872</v>
      </c>
      <c r="E52" s="8">
        <v>1624.452791547872</v>
      </c>
      <c r="F52" s="3">
        <f>($D$8-D52)/$D$8</f>
        <v>0.24557232666801196</v>
      </c>
      <c r="G52" s="5">
        <v>58.092599391937263</v>
      </c>
      <c r="H52" s="3">
        <v>0.18370845683439449</v>
      </c>
      <c r="I52">
        <v>1</v>
      </c>
      <c r="J52" s="5">
        <v>0.31720166139298822</v>
      </c>
      <c r="K52" s="5">
        <v>55.53377716184162</v>
      </c>
    </row>
    <row r="53" spans="1:14" x14ac:dyDescent="0.35">
      <c r="A53" t="s">
        <v>12</v>
      </c>
      <c r="B53">
        <v>32</v>
      </c>
      <c r="C53">
        <v>12</v>
      </c>
      <c r="D53" s="7">
        <v>1672.5596760939791</v>
      </c>
      <c r="E53" s="8">
        <v>1672.5596760939791</v>
      </c>
      <c r="F53" s="3">
        <f>($D$9-D53)/$D$9</f>
        <v>0.23928541953119459</v>
      </c>
      <c r="G53" s="5">
        <v>57.950175523757927</v>
      </c>
      <c r="H53" s="3">
        <v>0.29775658808144162</v>
      </c>
      <c r="I53">
        <v>0.99999834743984872</v>
      </c>
      <c r="J53" s="5">
        <v>0.33093053163437408</v>
      </c>
      <c r="K53" s="5">
        <v>55.227843054090371</v>
      </c>
    </row>
    <row r="54" spans="1:14" x14ac:dyDescent="0.35">
      <c r="A54" t="s">
        <v>12</v>
      </c>
      <c r="B54">
        <v>32</v>
      </c>
      <c r="C54">
        <v>13</v>
      </c>
      <c r="D54" s="7">
        <v>1839.3014955178401</v>
      </c>
      <c r="E54" s="8">
        <v>1839.3014955178401</v>
      </c>
      <c r="F54" s="3">
        <f>($D$10-D54)/$D$10</f>
        <v>0.15339799555615014</v>
      </c>
      <c r="G54" s="5">
        <v>56.290564775466919</v>
      </c>
      <c r="H54" s="3">
        <v>0.32200083359218379</v>
      </c>
      <c r="I54">
        <v>0.99997879481091423</v>
      </c>
      <c r="J54" s="5">
        <v>0.26990282261939802</v>
      </c>
      <c r="K54" s="5">
        <v>56.321936069364668</v>
      </c>
    </row>
    <row r="55" spans="1:14" x14ac:dyDescent="0.35">
      <c r="A55" t="s">
        <v>12</v>
      </c>
      <c r="B55">
        <v>32</v>
      </c>
      <c r="C55">
        <v>14</v>
      </c>
      <c r="D55" s="7">
        <v>1649.0098669861809</v>
      </c>
      <c r="E55" s="8">
        <v>1649.0098669861809</v>
      </c>
      <c r="F55" s="3">
        <f>($D$11-D55)/$D$11</f>
        <v>0.21418651463833993</v>
      </c>
      <c r="G55" s="5">
        <v>60.893797159194953</v>
      </c>
      <c r="H55" s="3">
        <v>0.27083741852552862</v>
      </c>
      <c r="I55">
        <v>0.99999583165834971</v>
      </c>
      <c r="J55" s="5">
        <v>0.29052091494776783</v>
      </c>
      <c r="K55" s="5">
        <v>55.875746179241702</v>
      </c>
    </row>
    <row r="56" spans="1:14" x14ac:dyDescent="0.35">
      <c r="A56" t="s">
        <v>12</v>
      </c>
      <c r="B56">
        <v>32</v>
      </c>
      <c r="C56">
        <v>15</v>
      </c>
      <c r="D56" s="7">
        <v>1527.0828503523101</v>
      </c>
      <c r="E56" s="8">
        <v>1527.0828503523101</v>
      </c>
      <c r="F56" s="3">
        <f>($D$12-D56)/$D$12</f>
        <v>0.35522802207400633</v>
      </c>
      <c r="G56" s="5">
        <v>57.897985219955437</v>
      </c>
      <c r="H56" s="3">
        <v>0.16092310083184799</v>
      </c>
      <c r="I56">
        <v>1</v>
      </c>
      <c r="J56" s="5">
        <v>0.25269144624975609</v>
      </c>
      <c r="K56" s="5">
        <v>55.821707101900152</v>
      </c>
    </row>
    <row r="57" spans="1:14" s="11" customFormat="1" x14ac:dyDescent="0.35">
      <c r="A57" s="11" t="s">
        <v>11</v>
      </c>
      <c r="B57" s="11">
        <v>128</v>
      </c>
      <c r="C57" s="11">
        <v>5</v>
      </c>
      <c r="D57" s="12">
        <v>2178.901964320868</v>
      </c>
      <c r="E57" s="13">
        <v>2178.901964320868</v>
      </c>
      <c r="F57" s="11">
        <v>0</v>
      </c>
      <c r="G57" s="15">
        <v>1.4380002021789551</v>
      </c>
      <c r="H57" s="14">
        <v>0.22908482502029659</v>
      </c>
      <c r="I57" s="11">
        <v>0.99999999999999978</v>
      </c>
      <c r="J57" s="15">
        <v>0.25369007016746048</v>
      </c>
      <c r="K57" s="15">
        <v>56.200217637801892</v>
      </c>
    </row>
    <row r="58" spans="1:14" x14ac:dyDescent="0.35">
      <c r="A58" t="s">
        <v>11</v>
      </c>
      <c r="B58">
        <v>128</v>
      </c>
      <c r="C58">
        <v>6</v>
      </c>
      <c r="D58" s="7">
        <v>2125.2943004545868</v>
      </c>
      <c r="E58" s="8">
        <v>2125.2943004545868</v>
      </c>
      <c r="F58">
        <v>0</v>
      </c>
      <c r="G58" s="5">
        <v>1.516000032424927</v>
      </c>
      <c r="H58" s="3">
        <v>0.23488865600258679</v>
      </c>
      <c r="I58">
        <v>1</v>
      </c>
      <c r="J58" s="5">
        <v>0.2178484232505882</v>
      </c>
      <c r="K58" s="5">
        <v>56.35162928323038</v>
      </c>
    </row>
    <row r="59" spans="1:14" x14ac:dyDescent="0.35">
      <c r="A59" t="s">
        <v>11</v>
      </c>
      <c r="B59">
        <v>128</v>
      </c>
      <c r="C59">
        <v>7</v>
      </c>
      <c r="D59" s="7">
        <v>2165.3488998869698</v>
      </c>
      <c r="E59" s="8">
        <v>2165.3488998869698</v>
      </c>
      <c r="F59">
        <v>0</v>
      </c>
      <c r="G59" s="5">
        <v>1.5060000419616699</v>
      </c>
      <c r="H59" s="3">
        <v>0.32103311579197857</v>
      </c>
      <c r="I59">
        <v>1</v>
      </c>
      <c r="J59" s="5">
        <v>0.25660906880097278</v>
      </c>
      <c r="K59" s="5">
        <v>55.874358208308969</v>
      </c>
    </row>
    <row r="60" spans="1:14" x14ac:dyDescent="0.35">
      <c r="A60" t="s">
        <v>11</v>
      </c>
      <c r="B60">
        <v>128</v>
      </c>
      <c r="C60">
        <v>8</v>
      </c>
      <c r="D60" s="7">
        <v>2009.6357561244581</v>
      </c>
      <c r="E60" s="8">
        <v>2009.6357561244581</v>
      </c>
      <c r="F60">
        <v>0</v>
      </c>
      <c r="G60" s="5">
        <v>1.375999927520752</v>
      </c>
      <c r="H60" s="3">
        <v>0.20815706949716939</v>
      </c>
      <c r="I60">
        <v>0.99985343659136272</v>
      </c>
      <c r="J60" s="5">
        <v>0.28515231593959672</v>
      </c>
      <c r="K60" s="5">
        <v>55.74019768609935</v>
      </c>
    </row>
    <row r="61" spans="1:14" x14ac:dyDescent="0.35">
      <c r="A61" t="s">
        <v>11</v>
      </c>
      <c r="B61">
        <v>128</v>
      </c>
      <c r="C61">
        <v>9</v>
      </c>
      <c r="D61" s="7">
        <v>2087.8786118983612</v>
      </c>
      <c r="E61" s="8">
        <v>2087.8786118983612</v>
      </c>
      <c r="F61">
        <v>0</v>
      </c>
      <c r="G61" s="5">
        <v>1.3359999656677251</v>
      </c>
      <c r="H61" s="3">
        <v>0.19949825479627781</v>
      </c>
      <c r="I61">
        <v>1</v>
      </c>
      <c r="J61" s="5">
        <v>0.24789636592110789</v>
      </c>
      <c r="K61" s="5">
        <v>55.476572727433187</v>
      </c>
    </row>
    <row r="62" spans="1:14" x14ac:dyDescent="0.35">
      <c r="A62" t="s">
        <v>11</v>
      </c>
      <c r="B62">
        <v>128</v>
      </c>
      <c r="C62">
        <v>10</v>
      </c>
      <c r="D62" s="7">
        <v>2173.5222498371609</v>
      </c>
      <c r="E62" s="8">
        <v>2173.5222498371609</v>
      </c>
      <c r="F62">
        <v>0</v>
      </c>
      <c r="G62" s="5">
        <v>1.510999917984009</v>
      </c>
      <c r="H62" s="3">
        <v>0.27481272359477937</v>
      </c>
      <c r="I62">
        <v>1</v>
      </c>
      <c r="J62" s="5">
        <v>0.2481073129618484</v>
      </c>
      <c r="K62" s="5">
        <v>56.217667687993348</v>
      </c>
    </row>
    <row r="63" spans="1:14" x14ac:dyDescent="0.35">
      <c r="A63" t="s">
        <v>11</v>
      </c>
      <c r="B63">
        <v>128</v>
      </c>
      <c r="C63">
        <v>11</v>
      </c>
      <c r="D63" s="7">
        <v>2113.529828285948</v>
      </c>
      <c r="E63" s="8">
        <v>2113.529828285948</v>
      </c>
      <c r="F63">
        <v>0</v>
      </c>
      <c r="G63" s="5">
        <v>1.3959999084472661</v>
      </c>
      <c r="H63" s="3">
        <v>0.22406674781864</v>
      </c>
      <c r="I63">
        <v>0.99975699087013614</v>
      </c>
      <c r="J63" s="5">
        <v>0.25292207098834829</v>
      </c>
      <c r="K63" s="5">
        <v>56.142734131644737</v>
      </c>
    </row>
    <row r="64" spans="1:14" x14ac:dyDescent="0.35">
      <c r="A64" t="s">
        <v>11</v>
      </c>
      <c r="B64">
        <v>128</v>
      </c>
      <c r="C64">
        <v>12</v>
      </c>
      <c r="D64" s="7">
        <v>2163.2140703527298</v>
      </c>
      <c r="E64" s="8">
        <v>2163.2140703527298</v>
      </c>
      <c r="F64">
        <v>0</v>
      </c>
      <c r="G64" s="5">
        <v>1.4309999942779541</v>
      </c>
      <c r="H64" s="3">
        <v>0.22380346785520869</v>
      </c>
      <c r="I64">
        <v>0.99956378711980942</v>
      </c>
      <c r="J64" s="5">
        <v>0.19905630378798489</v>
      </c>
      <c r="K64" s="5">
        <v>56.13692768803741</v>
      </c>
    </row>
    <row r="65" spans="1:14" x14ac:dyDescent="0.35">
      <c r="A65" t="s">
        <v>11</v>
      </c>
      <c r="B65">
        <v>128</v>
      </c>
      <c r="C65">
        <v>13</v>
      </c>
      <c r="D65" s="7">
        <v>2130.1202308147972</v>
      </c>
      <c r="E65" s="8">
        <v>2130.1202308147972</v>
      </c>
      <c r="F65">
        <v>0</v>
      </c>
      <c r="G65" s="5">
        <v>1.543999910354614</v>
      </c>
      <c r="H65" s="3">
        <v>0.26054554873220648</v>
      </c>
      <c r="I65">
        <v>1</v>
      </c>
      <c r="J65" s="5">
        <v>0.23995873402235501</v>
      </c>
      <c r="K65" s="5">
        <v>56.079217809537511</v>
      </c>
    </row>
    <row r="66" spans="1:14" x14ac:dyDescent="0.35">
      <c r="A66" t="s">
        <v>11</v>
      </c>
      <c r="B66">
        <v>128</v>
      </c>
      <c r="C66">
        <v>14</v>
      </c>
      <c r="D66" s="7">
        <v>2052.103427429337</v>
      </c>
      <c r="E66" s="8">
        <v>2052.103427429337</v>
      </c>
      <c r="F66">
        <v>0</v>
      </c>
      <c r="G66" s="5">
        <v>1.3650000095367429</v>
      </c>
      <c r="H66" s="3">
        <v>0.22493593184488689</v>
      </c>
      <c r="I66">
        <v>1</v>
      </c>
      <c r="J66" s="5">
        <v>0.26860022157685048</v>
      </c>
      <c r="K66" s="5">
        <v>56.205143701353563</v>
      </c>
    </row>
    <row r="67" spans="1:14" x14ac:dyDescent="0.35">
      <c r="A67" t="s">
        <v>11</v>
      </c>
      <c r="B67">
        <v>128</v>
      </c>
      <c r="C67">
        <v>15</v>
      </c>
      <c r="D67" s="7">
        <v>2328.2373802564171</v>
      </c>
      <c r="E67" s="8">
        <v>2328.2373802564171</v>
      </c>
      <c r="F67">
        <v>0</v>
      </c>
      <c r="G67" s="5">
        <v>1.4879999160766599</v>
      </c>
      <c r="H67" s="3">
        <v>0.67176715970943901</v>
      </c>
      <c r="I67">
        <v>0.9999436672968417</v>
      </c>
      <c r="J67" s="5">
        <v>0.2226719881655688</v>
      </c>
      <c r="K67" s="5">
        <v>56.262849785598007</v>
      </c>
    </row>
    <row r="68" spans="1:14" s="11" customFormat="1" x14ac:dyDescent="0.35">
      <c r="A68" s="11" t="s">
        <v>12</v>
      </c>
      <c r="B68" s="11">
        <v>128</v>
      </c>
      <c r="C68" s="11">
        <v>5</v>
      </c>
      <c r="D68" s="12">
        <v>2121.2258760719369</v>
      </c>
      <c r="E68" s="13">
        <v>2121.2258760719369</v>
      </c>
      <c r="F68" s="14">
        <f>($D$57-D68)/$D$57</f>
        <v>2.6470253913836794E-2</v>
      </c>
      <c r="G68" s="15">
        <v>64.649432897567749</v>
      </c>
      <c r="H68" s="14">
        <v>0.62957635096121523</v>
      </c>
      <c r="I68" s="11">
        <v>1</v>
      </c>
      <c r="J68" s="15">
        <v>0.23323219771928549</v>
      </c>
      <c r="K68" s="15">
        <v>56.084445960449173</v>
      </c>
      <c r="M68" s="14">
        <f>AVERAGE(F68:F78)</f>
        <v>8.1261151905843182E-2</v>
      </c>
      <c r="N68" s="16" t="s">
        <v>5</v>
      </c>
    </row>
    <row r="69" spans="1:14" x14ac:dyDescent="0.35">
      <c r="A69" t="s">
        <v>12</v>
      </c>
      <c r="B69">
        <v>128</v>
      </c>
      <c r="C69">
        <v>6</v>
      </c>
      <c r="D69" s="7">
        <v>1926.622019927484</v>
      </c>
      <c r="E69" s="8">
        <v>1926.622019927484</v>
      </c>
      <c r="F69" s="3">
        <f>($D$58-D69)/$D$58</f>
        <v>9.3479891460024223E-2</v>
      </c>
      <c r="G69" s="5">
        <v>59.644698858261108</v>
      </c>
      <c r="H69" s="3">
        <v>0.60214743653551894</v>
      </c>
      <c r="I69">
        <v>1</v>
      </c>
      <c r="J69" s="5">
        <v>0.3506259705006548</v>
      </c>
      <c r="K69" s="5">
        <v>56.365288529471087</v>
      </c>
      <c r="M69" s="3">
        <f>AVERAGE(H68:H78)</f>
        <v>0.5987054511166261</v>
      </c>
      <c r="N69" s="9" t="s">
        <v>13</v>
      </c>
    </row>
    <row r="70" spans="1:14" x14ac:dyDescent="0.35">
      <c r="A70" t="s">
        <v>12</v>
      </c>
      <c r="B70">
        <v>128</v>
      </c>
      <c r="C70">
        <v>7</v>
      </c>
      <c r="D70" s="7">
        <v>2156.6855085261191</v>
      </c>
      <c r="E70" s="8">
        <v>2156.6855085261191</v>
      </c>
      <c r="F70" s="3">
        <f>($D$59-D70)/$D$59</f>
        <v>4.000921681167841E-3</v>
      </c>
      <c r="G70" s="5">
        <v>63.321458339691162</v>
      </c>
      <c r="H70" s="3">
        <v>0.69446628228158702</v>
      </c>
      <c r="I70">
        <v>1</v>
      </c>
      <c r="J70" s="5">
        <v>0.28886222783681209</v>
      </c>
      <c r="K70" s="5">
        <v>56.286153485729322</v>
      </c>
      <c r="M70">
        <f>AVERAGE(I68:I78)</f>
        <v>1</v>
      </c>
      <c r="N70" s="9" t="s">
        <v>14</v>
      </c>
    </row>
    <row r="71" spans="1:14" x14ac:dyDescent="0.35">
      <c r="A71" t="s">
        <v>12</v>
      </c>
      <c r="B71">
        <v>128</v>
      </c>
      <c r="C71">
        <v>8</v>
      </c>
      <c r="D71" s="7">
        <v>1985.778486579469</v>
      </c>
      <c r="E71" s="8">
        <v>1985.778486579469</v>
      </c>
      <c r="F71" s="3">
        <f>($D$60-D71)/$D$60</f>
        <v>1.1871439623963179E-2</v>
      </c>
      <c r="G71" s="5">
        <v>62.572521924972527</v>
      </c>
      <c r="H71" s="3">
        <v>0.58578206284134482</v>
      </c>
      <c r="I71">
        <v>1</v>
      </c>
      <c r="J71" s="5">
        <v>0.32236450983304388</v>
      </c>
      <c r="K71" s="5">
        <v>56.145813394122243</v>
      </c>
      <c r="M71" s="5">
        <f>AVERAGE(J68:J78)</f>
        <v>0.29698301593050291</v>
      </c>
      <c r="N71" s="9" t="s">
        <v>15</v>
      </c>
    </row>
    <row r="72" spans="1:14" x14ac:dyDescent="0.35">
      <c r="A72" t="s">
        <v>12</v>
      </c>
      <c r="B72">
        <v>128</v>
      </c>
      <c r="C72">
        <v>9</v>
      </c>
      <c r="D72" s="7">
        <v>1849.431354377949</v>
      </c>
      <c r="E72" s="8">
        <v>1849.431354377949</v>
      </c>
      <c r="F72" s="3">
        <f>($D$61-D72)/$D$61</f>
        <v>0.11420551758208246</v>
      </c>
      <c r="G72" s="5">
        <v>60.032869815826423</v>
      </c>
      <c r="H72" s="3">
        <v>0.5378371645447948</v>
      </c>
      <c r="I72">
        <v>1</v>
      </c>
      <c r="J72" s="5">
        <v>0.30683196584903227</v>
      </c>
      <c r="K72" s="5">
        <v>56.005282855962001</v>
      </c>
      <c r="M72" s="5">
        <f>AVERAGE(K68:K78)</f>
        <v>56.105255265440512</v>
      </c>
      <c r="N72" s="9" t="s">
        <v>16</v>
      </c>
    </row>
    <row r="73" spans="1:14" x14ac:dyDescent="0.35">
      <c r="A73" t="s">
        <v>12</v>
      </c>
      <c r="B73">
        <v>128</v>
      </c>
      <c r="C73">
        <v>10</v>
      </c>
      <c r="D73" s="7">
        <v>1961.643333366658</v>
      </c>
      <c r="E73" s="8">
        <v>1961.643333366658</v>
      </c>
      <c r="F73" s="3">
        <f>($D$62-D73)/$D$62</f>
        <v>9.7481825404077058E-2</v>
      </c>
      <c r="G73" s="5">
        <v>58.345128297805793</v>
      </c>
      <c r="H73" s="3">
        <v>0.614278529222963</v>
      </c>
      <c r="I73">
        <v>1</v>
      </c>
      <c r="J73" s="5">
        <v>0.30041333437353801</v>
      </c>
      <c r="K73" s="5">
        <v>56.066174059095452</v>
      </c>
      <c r="M73" s="5">
        <f>AVERAGE(G68:G78)</f>
        <v>63.301200194792315</v>
      </c>
      <c r="N73" s="10" t="s">
        <v>6</v>
      </c>
    </row>
    <row r="74" spans="1:14" x14ac:dyDescent="0.35">
      <c r="A74" t="s">
        <v>12</v>
      </c>
      <c r="B74">
        <v>128</v>
      </c>
      <c r="C74">
        <v>11</v>
      </c>
      <c r="D74" s="7">
        <v>2003.8607060291149</v>
      </c>
      <c r="E74" s="8">
        <v>2003.8607060291149</v>
      </c>
      <c r="F74" s="3">
        <f>($D$63-D74)/$D$63</f>
        <v>5.1889081852123049E-2</v>
      </c>
      <c r="G74" s="5">
        <v>56.38627815246582</v>
      </c>
      <c r="H74" s="3">
        <v>0.62913742429224806</v>
      </c>
      <c r="I74">
        <v>1</v>
      </c>
      <c r="J74" s="5">
        <v>0.30357317122006527</v>
      </c>
      <c r="K74" s="5">
        <v>56.50275583510868</v>
      </c>
    </row>
    <row r="75" spans="1:14" x14ac:dyDescent="0.35">
      <c r="A75" t="s">
        <v>12</v>
      </c>
      <c r="B75">
        <v>128</v>
      </c>
      <c r="C75">
        <v>12</v>
      </c>
      <c r="D75" s="7">
        <v>1835.7358679543649</v>
      </c>
      <c r="E75" s="8">
        <v>1835.7358679543649</v>
      </c>
      <c r="F75" s="3">
        <f>($D$64-D75)/$D$64</f>
        <v>0.15138501865650625</v>
      </c>
      <c r="G75" s="5">
        <v>70.595906019210815</v>
      </c>
      <c r="H75" s="3">
        <v>0.53831659194088677</v>
      </c>
      <c r="I75">
        <v>1</v>
      </c>
      <c r="J75" s="5">
        <v>0.3059113701158897</v>
      </c>
      <c r="K75" s="5">
        <v>55.218173091154981</v>
      </c>
    </row>
    <row r="76" spans="1:14" x14ac:dyDescent="0.35">
      <c r="A76" t="s">
        <v>12</v>
      </c>
      <c r="B76">
        <v>128</v>
      </c>
      <c r="C76">
        <v>13</v>
      </c>
      <c r="D76" s="7">
        <v>1909.678695243176</v>
      </c>
      <c r="E76" s="8">
        <v>1909.678695243176</v>
      </c>
      <c r="F76" s="3">
        <f>($D$65-D76)/$D$65</f>
        <v>0.10348783715710715</v>
      </c>
      <c r="G76" s="5">
        <v>69.651759386062622</v>
      </c>
      <c r="H76" s="3">
        <v>0.51487686253381726</v>
      </c>
      <c r="I76">
        <v>1</v>
      </c>
      <c r="J76" s="5">
        <v>0.25068710615685191</v>
      </c>
      <c r="K76" s="5">
        <v>55.582738338786562</v>
      </c>
    </row>
    <row r="77" spans="1:14" x14ac:dyDescent="0.35">
      <c r="A77" t="s">
        <v>12</v>
      </c>
      <c r="B77">
        <v>128</v>
      </c>
      <c r="C77">
        <v>14</v>
      </c>
      <c r="D77" s="7">
        <v>1869.3942053583689</v>
      </c>
      <c r="E77" s="8">
        <v>1869.3942053583689</v>
      </c>
      <c r="F77" s="3">
        <f>($D$66-D77)/$D$66</f>
        <v>8.9035094249536567E-2</v>
      </c>
      <c r="G77" s="5">
        <v>62.853686571121223</v>
      </c>
      <c r="H77" s="3">
        <v>0.55365671331208055</v>
      </c>
      <c r="I77">
        <v>1</v>
      </c>
      <c r="J77" s="5">
        <v>0.31511416610525378</v>
      </c>
      <c r="K77" s="5">
        <v>56.205721076318142</v>
      </c>
    </row>
    <row r="78" spans="1:14" x14ac:dyDescent="0.35">
      <c r="A78" t="s">
        <v>12</v>
      </c>
      <c r="B78">
        <v>128</v>
      </c>
      <c r="C78">
        <v>15</v>
      </c>
      <c r="D78" s="7">
        <v>1977.684481225122</v>
      </c>
      <c r="E78" s="8">
        <v>1977.684481225122</v>
      </c>
      <c r="F78" s="3">
        <f>($D$67-D78)/$D$67</f>
        <v>0.15056578938385029</v>
      </c>
      <c r="G78" s="5">
        <v>68.259461879730225</v>
      </c>
      <c r="H78" s="3">
        <v>0.68568454381642996</v>
      </c>
      <c r="I78">
        <v>1</v>
      </c>
      <c r="J78" s="5">
        <v>0.28919715552510478</v>
      </c>
      <c r="K78" s="5">
        <v>56.695261293647917</v>
      </c>
    </row>
    <row r="79" spans="1:14" s="11" customFormat="1" x14ac:dyDescent="0.35">
      <c r="A79" s="11" t="s">
        <v>12</v>
      </c>
      <c r="B79" s="11">
        <v>128</v>
      </c>
      <c r="C79" s="11">
        <v>5</v>
      </c>
      <c r="D79" s="12">
        <v>1893.3419854227291</v>
      </c>
      <c r="E79" s="13">
        <v>1893.3419854227291</v>
      </c>
      <c r="F79" s="14">
        <f>($D$57-D79)/$D$57</f>
        <v>0.13105682750951297</v>
      </c>
      <c r="G79" s="15">
        <v>65.201763391494751</v>
      </c>
      <c r="H79" s="14">
        <v>0.28089292624794321</v>
      </c>
      <c r="I79" s="11">
        <v>0.99999863561160307</v>
      </c>
      <c r="J79" s="15">
        <v>0.22747606762717709</v>
      </c>
      <c r="K79" s="15">
        <v>56.227247283868152</v>
      </c>
      <c r="M79" s="14">
        <f>AVERAGE(F79:F89)</f>
        <v>0.19757782149469955</v>
      </c>
      <c r="N79" s="16" t="s">
        <v>5</v>
      </c>
    </row>
    <row r="80" spans="1:14" x14ac:dyDescent="0.35">
      <c r="A80" t="s">
        <v>12</v>
      </c>
      <c r="B80">
        <v>128</v>
      </c>
      <c r="C80">
        <v>6</v>
      </c>
      <c r="D80" s="7">
        <v>1571.8700131834289</v>
      </c>
      <c r="E80" s="8">
        <v>1571.8700131834289</v>
      </c>
      <c r="F80" s="3">
        <f>($D$58-D80)/$D$58</f>
        <v>0.26039889494494201</v>
      </c>
      <c r="G80" s="5">
        <v>62.815203666687012</v>
      </c>
      <c r="H80" s="3">
        <v>0.16176302077747051</v>
      </c>
      <c r="I80">
        <v>0.99999137347431044</v>
      </c>
      <c r="J80" s="5">
        <v>0.34231627356303129</v>
      </c>
      <c r="K80" s="5">
        <v>56.409045754939832</v>
      </c>
      <c r="M80" s="3">
        <f>AVERAGE(H79:H89)</f>
        <v>0.21151848257942252</v>
      </c>
      <c r="N80" s="9" t="s">
        <v>13</v>
      </c>
    </row>
    <row r="81" spans="1:14" x14ac:dyDescent="0.35">
      <c r="A81" t="s">
        <v>12</v>
      </c>
      <c r="B81">
        <v>128</v>
      </c>
      <c r="C81">
        <v>7</v>
      </c>
      <c r="D81" s="7">
        <v>1772.2966376968491</v>
      </c>
      <c r="E81" s="8">
        <v>1772.2966376968491</v>
      </c>
      <c r="F81" s="3">
        <f>($D$59-D81)/$D$59</f>
        <v>0.18151913634363398</v>
      </c>
      <c r="G81" s="5">
        <v>66.623338222503662</v>
      </c>
      <c r="H81" s="3">
        <v>0.19016984308969281</v>
      </c>
      <c r="I81">
        <v>1</v>
      </c>
      <c r="J81" s="5">
        <v>0.26837393480857302</v>
      </c>
      <c r="K81" s="5">
        <v>56.33019916746192</v>
      </c>
      <c r="M81">
        <f>AVERAGE(I79:I89)</f>
        <v>0.99998348046315577</v>
      </c>
      <c r="N81" s="9" t="s">
        <v>14</v>
      </c>
    </row>
    <row r="82" spans="1:14" x14ac:dyDescent="0.35">
      <c r="A82" t="s">
        <v>12</v>
      </c>
      <c r="B82">
        <v>128</v>
      </c>
      <c r="C82">
        <v>8</v>
      </c>
      <c r="D82" s="7">
        <v>1782.646640118199</v>
      </c>
      <c r="E82" s="8">
        <v>1782.646640118199</v>
      </c>
      <c r="F82" s="3">
        <f>($D$60-D82)/$D$60</f>
        <v>0.11295037686033364</v>
      </c>
      <c r="G82" s="5">
        <v>67.27219820022583</v>
      </c>
      <c r="H82" s="3">
        <v>0.2037177787566635</v>
      </c>
      <c r="I82">
        <v>1</v>
      </c>
      <c r="J82" s="5">
        <v>0.3516922947228564</v>
      </c>
      <c r="K82" s="5">
        <v>56.368327720067242</v>
      </c>
      <c r="M82" s="5">
        <f>AVERAGE(J79:J89)</f>
        <v>0.30287055342504021</v>
      </c>
      <c r="N82" s="9" t="s">
        <v>15</v>
      </c>
    </row>
    <row r="83" spans="1:14" x14ac:dyDescent="0.35">
      <c r="A83" t="s">
        <v>12</v>
      </c>
      <c r="B83">
        <v>128</v>
      </c>
      <c r="C83">
        <v>9</v>
      </c>
      <c r="D83" s="7">
        <v>1560.2810373762379</v>
      </c>
      <c r="E83" s="8">
        <v>1560.2810373762379</v>
      </c>
      <c r="F83" s="3">
        <f>($D$61-D83)/$D$61</f>
        <v>0.25269552143283652</v>
      </c>
      <c r="G83" s="5">
        <v>69.96998119354248</v>
      </c>
      <c r="H83" s="3">
        <v>0.15524104109353271</v>
      </c>
      <c r="I83">
        <v>0.99989436931356457</v>
      </c>
      <c r="J83" s="5">
        <v>0.3673162262776119</v>
      </c>
      <c r="K83" s="5">
        <v>56.212688346270468</v>
      </c>
      <c r="M83" s="5">
        <f>AVERAGE(K79:K89)</f>
        <v>56.126270487051563</v>
      </c>
      <c r="N83" s="9" t="s">
        <v>16</v>
      </c>
    </row>
    <row r="84" spans="1:14" x14ac:dyDescent="0.35">
      <c r="A84" t="s">
        <v>12</v>
      </c>
      <c r="B84">
        <v>128</v>
      </c>
      <c r="C84">
        <v>10</v>
      </c>
      <c r="D84" s="7">
        <v>1572.464697840144</v>
      </c>
      <c r="E84" s="8">
        <v>1572.464697840144</v>
      </c>
      <c r="F84" s="3">
        <f>($D$62-D84)/$D$62</f>
        <v>0.27653618546672237</v>
      </c>
      <c r="G84" s="5">
        <v>85.021136522293091</v>
      </c>
      <c r="H84" s="3">
        <v>0.15474391970760951</v>
      </c>
      <c r="I84">
        <v>0.99997625065023066</v>
      </c>
      <c r="J84" s="5">
        <v>0.28932047202453592</v>
      </c>
      <c r="K84" s="5">
        <v>55.311384322497076</v>
      </c>
      <c r="M84" s="5">
        <f>AVERAGE(G79:G89)</f>
        <v>67.705590486526489</v>
      </c>
      <c r="N84" s="10" t="s">
        <v>6</v>
      </c>
    </row>
    <row r="85" spans="1:14" x14ac:dyDescent="0.35">
      <c r="A85" t="s">
        <v>12</v>
      </c>
      <c r="B85">
        <v>128</v>
      </c>
      <c r="C85">
        <v>11</v>
      </c>
      <c r="D85" s="7">
        <v>1719.802576039529</v>
      </c>
      <c r="E85" s="8">
        <v>1719.802576039529</v>
      </c>
      <c r="F85" s="3">
        <f>($D$63-D85)/$D$63</f>
        <v>0.18628894987762157</v>
      </c>
      <c r="G85" s="5">
        <v>73.204224348068237</v>
      </c>
      <c r="H85" s="3">
        <v>0.22556760037521101</v>
      </c>
      <c r="I85">
        <v>0.99999651456505823</v>
      </c>
      <c r="J85" s="5">
        <v>0.28936416543525301</v>
      </c>
      <c r="K85" s="5">
        <v>56.063751505499582</v>
      </c>
    </row>
    <row r="86" spans="1:14" x14ac:dyDescent="0.35">
      <c r="A86" t="s">
        <v>12</v>
      </c>
      <c r="B86">
        <v>128</v>
      </c>
      <c r="C86">
        <v>12</v>
      </c>
      <c r="D86" s="7">
        <v>1732.689992704961</v>
      </c>
      <c r="E86" s="8">
        <v>1732.689992704961</v>
      </c>
      <c r="F86" s="3">
        <f>($D$64-D86)/$D$64</f>
        <v>0.19902056090896647</v>
      </c>
      <c r="G86" s="5">
        <v>65.897937774658203</v>
      </c>
      <c r="H86" s="3">
        <v>0.23548405507656139</v>
      </c>
      <c r="I86">
        <v>0.99999999999999989</v>
      </c>
      <c r="J86" s="5">
        <v>0.35501786693541149</v>
      </c>
      <c r="K86" s="5">
        <v>56.050448307702652</v>
      </c>
    </row>
    <row r="87" spans="1:14" x14ac:dyDescent="0.35">
      <c r="A87" t="s">
        <v>12</v>
      </c>
      <c r="B87">
        <v>128</v>
      </c>
      <c r="C87">
        <v>13</v>
      </c>
      <c r="D87" s="7">
        <v>1834.3276997088919</v>
      </c>
      <c r="E87" s="8">
        <v>1834.3276997088919</v>
      </c>
      <c r="F87" s="3">
        <f>($D$65-D87)/$D$65</f>
        <v>0.13886189466064128</v>
      </c>
      <c r="G87" s="5">
        <v>63.099229097366333</v>
      </c>
      <c r="H87" s="3">
        <v>0.35765651624190131</v>
      </c>
      <c r="I87">
        <v>1</v>
      </c>
      <c r="J87" s="5">
        <v>0.25698181499941619</v>
      </c>
      <c r="K87" s="5">
        <v>55.818997842868789</v>
      </c>
    </row>
    <row r="88" spans="1:14" x14ac:dyDescent="0.35">
      <c r="A88" t="s">
        <v>12</v>
      </c>
      <c r="B88">
        <v>128</v>
      </c>
      <c r="C88">
        <v>14</v>
      </c>
      <c r="D88" s="7">
        <v>1670.5098003794039</v>
      </c>
      <c r="E88" s="8">
        <v>1670.5098003794039</v>
      </c>
      <c r="F88" s="3">
        <f>($D$66-D88)/$D$66</f>
        <v>0.18595243395112598</v>
      </c>
      <c r="G88" s="5">
        <v>64.24199104309082</v>
      </c>
      <c r="H88" s="3">
        <v>0.17370609041875451</v>
      </c>
      <c r="I88">
        <v>0.99996114147994508</v>
      </c>
      <c r="J88" s="5">
        <v>0.31467822028876152</v>
      </c>
      <c r="K88" s="5">
        <v>56.342688215165317</v>
      </c>
    </row>
    <row r="89" spans="1:14" x14ac:dyDescent="0.35">
      <c r="A89" t="s">
        <v>12</v>
      </c>
      <c r="B89">
        <v>128</v>
      </c>
      <c r="C89">
        <v>15</v>
      </c>
      <c r="D89" s="7">
        <v>1750.6592996469819</v>
      </c>
      <c r="E89" s="8">
        <v>1750.6592996469819</v>
      </c>
      <c r="F89" s="3">
        <f>($D$67-D89)/$D$67</f>
        <v>0.24807525448535853</v>
      </c>
      <c r="G89" s="5">
        <v>61.414491891860962</v>
      </c>
      <c r="H89" s="3">
        <v>0.18776051658830761</v>
      </c>
      <c r="I89">
        <v>1</v>
      </c>
      <c r="J89" s="5">
        <v>0.26903875099281438</v>
      </c>
      <c r="K89" s="5">
        <v>56.254196891226258</v>
      </c>
    </row>
    <row r="90" spans="1:14" s="11" customFormat="1" x14ac:dyDescent="0.35">
      <c r="A90" s="11" t="s">
        <v>12</v>
      </c>
      <c r="B90" s="11">
        <v>128</v>
      </c>
      <c r="C90" s="11">
        <v>5</v>
      </c>
      <c r="D90" s="12">
        <v>2032.7289610477919</v>
      </c>
      <c r="E90" s="13">
        <v>2032.7289610477919</v>
      </c>
      <c r="F90" s="14">
        <f>($D$57-D90)/$D$57</f>
        <v>6.7085626460773845E-2</v>
      </c>
      <c r="G90" s="15">
        <v>83.421903610229492</v>
      </c>
      <c r="H90" s="14">
        <v>0.44215066667429043</v>
      </c>
      <c r="I90" s="11">
        <v>1</v>
      </c>
      <c r="J90" s="15">
        <v>0.2368228338874539</v>
      </c>
      <c r="K90" s="15">
        <v>56.103004420034097</v>
      </c>
      <c r="M90" s="14">
        <f>AVERAGE(F90:F100)</f>
        <v>0.15713304626199215</v>
      </c>
      <c r="N90" s="16" t="s">
        <v>5</v>
      </c>
    </row>
    <row r="91" spans="1:14" x14ac:dyDescent="0.35">
      <c r="A91" t="s">
        <v>12</v>
      </c>
      <c r="B91">
        <v>128</v>
      </c>
      <c r="C91">
        <v>6</v>
      </c>
      <c r="D91" s="7">
        <v>1677.0211499637751</v>
      </c>
      <c r="E91" s="8">
        <v>1677.0211499637751</v>
      </c>
      <c r="F91" s="3">
        <f>($D$58-D91)/$D$58</f>
        <v>0.2109228591988079</v>
      </c>
      <c r="G91" s="5">
        <v>68.499993085861206</v>
      </c>
      <c r="H91" s="3">
        <v>0.25144134587240069</v>
      </c>
      <c r="I91">
        <v>0.99999957530990968</v>
      </c>
      <c r="J91" s="5">
        <v>0.33887814859621912</v>
      </c>
      <c r="K91" s="5">
        <v>55.573621173038553</v>
      </c>
      <c r="M91" s="3">
        <f>AVERAGE(H90:H100)</f>
        <v>0.30578199796220762</v>
      </c>
      <c r="N91" s="9" t="s">
        <v>13</v>
      </c>
    </row>
    <row r="92" spans="1:14" x14ac:dyDescent="0.35">
      <c r="A92" t="s">
        <v>12</v>
      </c>
      <c r="B92">
        <v>128</v>
      </c>
      <c r="C92">
        <v>7</v>
      </c>
      <c r="D92" s="7">
        <v>1929.38081994661</v>
      </c>
      <c r="E92" s="8">
        <v>1929.38081994661</v>
      </c>
      <c r="F92" s="3">
        <f>($D$59-D92)/$D$59</f>
        <v>0.10897462295922712</v>
      </c>
      <c r="G92" s="5">
        <v>67.08275032043457</v>
      </c>
      <c r="H92" s="3">
        <v>0.33299117676162721</v>
      </c>
      <c r="I92">
        <v>0.99999525662189714</v>
      </c>
      <c r="J92" s="5">
        <v>0.27979178570892999</v>
      </c>
      <c r="K92" s="5">
        <v>56.577573799499312</v>
      </c>
      <c r="M92">
        <f>AVERAGE(I90:I100)</f>
        <v>0.99999721699812483</v>
      </c>
      <c r="N92" s="9" t="s">
        <v>14</v>
      </c>
    </row>
    <row r="93" spans="1:14" x14ac:dyDescent="0.35">
      <c r="A93" t="s">
        <v>12</v>
      </c>
      <c r="B93">
        <v>128</v>
      </c>
      <c r="C93">
        <v>8</v>
      </c>
      <c r="D93" s="7">
        <v>1821.336536424164</v>
      </c>
      <c r="E93" s="8">
        <v>1821.336536424164</v>
      </c>
      <c r="F93" s="3">
        <f>($D$60-D93)/$D$60</f>
        <v>9.369818342773982E-2</v>
      </c>
      <c r="G93" s="5">
        <v>75.714868545532227</v>
      </c>
      <c r="H93" s="3">
        <v>0.33951399545535382</v>
      </c>
      <c r="I93">
        <v>0.99999264092650653</v>
      </c>
      <c r="J93" s="5">
        <v>0.32207629466850551</v>
      </c>
      <c r="K93" s="5">
        <v>56.020208616834793</v>
      </c>
      <c r="M93" s="5">
        <f>AVERAGE(J90:J100)</f>
        <v>0.30243800190130882</v>
      </c>
      <c r="N93" s="9" t="s">
        <v>15</v>
      </c>
    </row>
    <row r="94" spans="1:14" x14ac:dyDescent="0.35">
      <c r="A94" t="s">
        <v>12</v>
      </c>
      <c r="B94">
        <v>128</v>
      </c>
      <c r="C94">
        <v>9</v>
      </c>
      <c r="D94" s="7">
        <v>1636.9663743047299</v>
      </c>
      <c r="E94" s="8">
        <v>1636.9663743047299</v>
      </c>
      <c r="F94" s="3">
        <f>($D$61-D94)/$D$61</f>
        <v>0.21596669223200121</v>
      </c>
      <c r="G94" s="5">
        <v>63.463815689086907</v>
      </c>
      <c r="H94" s="3">
        <v>0.28308232802408528</v>
      </c>
      <c r="I94">
        <v>0.99999679240326789</v>
      </c>
      <c r="J94" s="5">
        <v>0.31792649856703431</v>
      </c>
      <c r="K94" s="5">
        <v>56.319650868411237</v>
      </c>
      <c r="M94" s="5">
        <f>AVERAGE(K90:K100)</f>
        <v>56.214803187731306</v>
      </c>
      <c r="N94" s="9" t="s">
        <v>16</v>
      </c>
    </row>
    <row r="95" spans="1:14" x14ac:dyDescent="0.35">
      <c r="A95" t="s">
        <v>12</v>
      </c>
      <c r="B95">
        <v>128</v>
      </c>
      <c r="C95">
        <v>10</v>
      </c>
      <c r="D95" s="7">
        <v>1761.6549219909771</v>
      </c>
      <c r="E95" s="8">
        <v>1761.6549219909771</v>
      </c>
      <c r="F95" s="3">
        <f>($D$62-D95)/$D$62</f>
        <v>0.18949303503888248</v>
      </c>
      <c r="G95" s="5">
        <v>63.857629060745239</v>
      </c>
      <c r="H95" s="3">
        <v>0.27798666020567409</v>
      </c>
      <c r="I95">
        <v>0.99998810191745002</v>
      </c>
      <c r="J95" s="5">
        <v>0.30399505480618971</v>
      </c>
      <c r="K95" s="5">
        <v>56.222063918116383</v>
      </c>
      <c r="M95" s="5">
        <f>AVERAGE(G90:G100)</f>
        <v>67.481080076911226</v>
      </c>
      <c r="N95" s="10" t="s">
        <v>6</v>
      </c>
    </row>
    <row r="96" spans="1:14" x14ac:dyDescent="0.35">
      <c r="A96" t="s">
        <v>12</v>
      </c>
      <c r="B96">
        <v>128</v>
      </c>
      <c r="C96">
        <v>11</v>
      </c>
      <c r="D96" s="7">
        <v>1857.512391839022</v>
      </c>
      <c r="E96" s="8">
        <v>1857.512391839022</v>
      </c>
      <c r="F96" s="3">
        <f>($D$63-D96)/$D$63</f>
        <v>0.12113263461938156</v>
      </c>
      <c r="G96" s="5">
        <v>65.365267753601074</v>
      </c>
      <c r="H96" s="3">
        <v>0.2631489629097028</v>
      </c>
      <c r="I96">
        <v>0.99999999999999989</v>
      </c>
      <c r="J96" s="5">
        <v>0.30831196815197182</v>
      </c>
      <c r="K96" s="5">
        <v>56.302845135120279</v>
      </c>
    </row>
    <row r="97" spans="1:14" x14ac:dyDescent="0.35">
      <c r="A97" t="s">
        <v>12</v>
      </c>
      <c r="B97">
        <v>128</v>
      </c>
      <c r="C97">
        <v>12</v>
      </c>
      <c r="D97" s="7">
        <v>1792.581333980057</v>
      </c>
      <c r="E97" s="8">
        <v>1792.581333980057</v>
      </c>
      <c r="F97" s="3">
        <f>($D$64-D97)/$D$64</f>
        <v>0.17133428515109372</v>
      </c>
      <c r="G97" s="5">
        <v>63.08179235458374</v>
      </c>
      <c r="H97" s="3">
        <v>0.26448751276146509</v>
      </c>
      <c r="I97">
        <v>0.99999999999999989</v>
      </c>
      <c r="J97" s="5">
        <v>0.35956592560387279</v>
      </c>
      <c r="K97" s="5">
        <v>56.106916495715787</v>
      </c>
    </row>
    <row r="98" spans="1:14" x14ac:dyDescent="0.35">
      <c r="A98" t="s">
        <v>12</v>
      </c>
      <c r="B98">
        <v>128</v>
      </c>
      <c r="C98">
        <v>13</v>
      </c>
      <c r="D98" s="7">
        <v>1882.4516807390551</v>
      </c>
      <c r="E98" s="8">
        <v>1882.4516807390551</v>
      </c>
      <c r="F98" s="3">
        <f>($D$65-D98)/$D$65</f>
        <v>0.11626975158158366</v>
      </c>
      <c r="G98" s="5">
        <v>63.657674789428711</v>
      </c>
      <c r="H98" s="3">
        <v>0.43278635402802013</v>
      </c>
      <c r="I98">
        <v>1</v>
      </c>
      <c r="J98" s="5">
        <v>0.26404315184035843</v>
      </c>
      <c r="K98" s="5">
        <v>56.137196578447757</v>
      </c>
    </row>
    <row r="99" spans="1:14" x14ac:dyDescent="0.35">
      <c r="A99" t="s">
        <v>12</v>
      </c>
      <c r="B99">
        <v>128</v>
      </c>
      <c r="C99">
        <v>14</v>
      </c>
      <c r="D99" s="7">
        <v>1665.3949242772151</v>
      </c>
      <c r="E99" s="8">
        <v>1665.3949242772151</v>
      </c>
      <c r="F99" s="3">
        <f>($D$66-D99)/$D$66</f>
        <v>0.18844493800029871</v>
      </c>
      <c r="G99" s="5">
        <v>62.324253559112549</v>
      </c>
      <c r="H99" s="3">
        <v>0.2119252022036148</v>
      </c>
      <c r="I99">
        <v>0.99999701980034328</v>
      </c>
      <c r="J99" s="5">
        <v>0.32430352672085139</v>
      </c>
      <c r="K99" s="5">
        <v>56.397024714196959</v>
      </c>
    </row>
    <row r="100" spans="1:14" x14ac:dyDescent="0.35">
      <c r="A100" t="s">
        <v>12</v>
      </c>
      <c r="B100">
        <v>128</v>
      </c>
      <c r="C100">
        <v>15</v>
      </c>
      <c r="D100" s="7">
        <v>1757.49121951759</v>
      </c>
      <c r="E100" s="8">
        <v>1757.49121951759</v>
      </c>
      <c r="F100" s="3">
        <f>($D$67-D100)/$D$67</f>
        <v>0.24514088021212371</v>
      </c>
      <c r="G100" s="5">
        <v>65.821932077407837</v>
      </c>
      <c r="H100" s="3">
        <v>0.26408777268804928</v>
      </c>
      <c r="I100">
        <v>1</v>
      </c>
      <c r="J100" s="5">
        <v>0.27110283236301058</v>
      </c>
      <c r="K100" s="5">
        <v>56.602729345629207</v>
      </c>
    </row>
    <row r="101" spans="1:14" s="11" customFormat="1" x14ac:dyDescent="0.35">
      <c r="A101" s="11" t="s">
        <v>12</v>
      </c>
      <c r="B101" s="11">
        <v>128</v>
      </c>
      <c r="C101" s="11">
        <v>5</v>
      </c>
      <c r="D101" s="12">
        <v>1699.175599126716</v>
      </c>
      <c r="E101" s="13">
        <v>1699.175599126716</v>
      </c>
      <c r="F101" s="14">
        <f>($D$57-D101)/$D$57</f>
        <v>0.2201688616787657</v>
      </c>
      <c r="G101" s="15">
        <v>80.963665723800659</v>
      </c>
      <c r="H101" s="14">
        <v>0.16951271928316419</v>
      </c>
      <c r="I101" s="11">
        <v>0.99998330174426298</v>
      </c>
      <c r="J101" s="15">
        <v>0.21609325247665129</v>
      </c>
      <c r="K101" s="15">
        <v>55.629034274648909</v>
      </c>
      <c r="M101" s="14">
        <f>AVERAGE(F101:F111)</f>
        <v>0.2706921305742665</v>
      </c>
      <c r="N101" s="16" t="s">
        <v>5</v>
      </c>
    </row>
    <row r="102" spans="1:14" x14ac:dyDescent="0.35">
      <c r="A102" t="s">
        <v>12</v>
      </c>
      <c r="B102">
        <v>128</v>
      </c>
      <c r="C102">
        <v>6</v>
      </c>
      <c r="F102" s="3"/>
      <c r="M102" s="3">
        <f>AVERAGE(H101:H111)</f>
        <v>0.17243253075188</v>
      </c>
      <c r="N102" s="9" t="s">
        <v>13</v>
      </c>
    </row>
    <row r="103" spans="1:14" x14ac:dyDescent="0.35">
      <c r="A103" t="s">
        <v>12</v>
      </c>
      <c r="B103">
        <v>128</v>
      </c>
      <c r="C103">
        <v>7</v>
      </c>
      <c r="D103" s="7">
        <v>1754.831596461004</v>
      </c>
      <c r="E103" s="8">
        <v>1754.831596461004</v>
      </c>
      <c r="F103" s="3">
        <f>($D$59-D103)/$D$59</f>
        <v>0.18958483016173264</v>
      </c>
      <c r="G103" s="5">
        <v>72.708844900131226</v>
      </c>
      <c r="H103" s="3">
        <v>0.22303290469487211</v>
      </c>
      <c r="I103">
        <v>0.99991927034272643</v>
      </c>
      <c r="J103" s="5">
        <v>0.24625585322332369</v>
      </c>
      <c r="K103" s="5">
        <v>54.905726754283407</v>
      </c>
      <c r="M103">
        <f>AVERAGE(I101:I111)</f>
        <v>0.99992100285275209</v>
      </c>
      <c r="N103" s="9" t="s">
        <v>14</v>
      </c>
    </row>
    <row r="104" spans="1:14" x14ac:dyDescent="0.35">
      <c r="A104" t="s">
        <v>12</v>
      </c>
      <c r="B104">
        <v>128</v>
      </c>
      <c r="C104">
        <v>8</v>
      </c>
      <c r="D104" s="7">
        <v>1565.06328077271</v>
      </c>
      <c r="E104" s="8">
        <v>1565.06328077271</v>
      </c>
      <c r="F104" s="3">
        <f>($D$60-D104)/$D$60</f>
        <v>0.22122042464505964</v>
      </c>
      <c r="G104" s="5">
        <v>72.345878124237061</v>
      </c>
      <c r="H104" s="3">
        <v>0.1892280616785213</v>
      </c>
      <c r="I104">
        <v>0.99996076162065051</v>
      </c>
      <c r="J104" s="5">
        <v>0.28828673752604811</v>
      </c>
      <c r="K104" s="5">
        <v>56.048591139707597</v>
      </c>
      <c r="M104" s="5">
        <f>AVERAGE(J101:J111)</f>
        <v>0.28315835416362273</v>
      </c>
      <c r="N104" s="9" t="s">
        <v>15</v>
      </c>
    </row>
    <row r="105" spans="1:14" x14ac:dyDescent="0.35">
      <c r="A105" t="s">
        <v>12</v>
      </c>
      <c r="B105">
        <v>128</v>
      </c>
      <c r="C105">
        <v>9</v>
      </c>
      <c r="D105" s="7">
        <v>1531.2180580503659</v>
      </c>
      <c r="E105" s="8">
        <v>1531.2180580503659</v>
      </c>
      <c r="F105" s="3">
        <f>($D$61-D105)/$D$61</f>
        <v>0.26661538208002572</v>
      </c>
      <c r="G105" s="5">
        <v>70.301364421844482</v>
      </c>
      <c r="H105" s="3">
        <v>0.15212356261303281</v>
      </c>
      <c r="I105">
        <v>0.99978598591184187</v>
      </c>
      <c r="J105" s="5">
        <v>0.30024106032011572</v>
      </c>
      <c r="K105" s="5">
        <v>55.908406563587889</v>
      </c>
      <c r="M105" s="5">
        <f>AVERAGE(K101:K111)</f>
        <v>55.74041202362163</v>
      </c>
      <c r="N105" s="9" t="s">
        <v>16</v>
      </c>
    </row>
    <row r="106" spans="1:14" x14ac:dyDescent="0.35">
      <c r="A106" t="s">
        <v>12</v>
      </c>
      <c r="B106">
        <v>128</v>
      </c>
      <c r="C106">
        <v>10</v>
      </c>
      <c r="D106" s="7">
        <v>1463.181101266309</v>
      </c>
      <c r="E106" s="8">
        <v>1463.181101266309</v>
      </c>
      <c r="F106" s="3">
        <f>($D$62-D106)/$D$62</f>
        <v>0.32681567838749764</v>
      </c>
      <c r="G106" s="5">
        <v>81.264100074768066</v>
      </c>
      <c r="H106" s="3">
        <v>0.12878522150543331</v>
      </c>
      <c r="I106">
        <v>0.99994081798390744</v>
      </c>
      <c r="J106" s="5">
        <v>0.30804956239732578</v>
      </c>
      <c r="K106" s="5">
        <v>55.669798938374647</v>
      </c>
      <c r="M106" s="5">
        <f>AVERAGE(G101:G111)</f>
        <v>77.161528801918024</v>
      </c>
      <c r="N106" s="10" t="s">
        <v>6</v>
      </c>
    </row>
    <row r="107" spans="1:14" x14ac:dyDescent="0.35">
      <c r="A107" t="s">
        <v>12</v>
      </c>
      <c r="B107">
        <v>128</v>
      </c>
      <c r="C107">
        <v>11</v>
      </c>
      <c r="D107" s="7">
        <v>1492.6531169131299</v>
      </c>
      <c r="E107" s="8">
        <v>1492.6531169131299</v>
      </c>
      <c r="F107" s="3">
        <f>($D$63-D107)/$D$63</f>
        <v>0.29376292828398032</v>
      </c>
      <c r="G107" s="5">
        <v>72.105060338973999</v>
      </c>
      <c r="H107" s="3">
        <v>0.1452754441640815</v>
      </c>
      <c r="I107">
        <v>0.99998547920241487</v>
      </c>
      <c r="J107" s="5">
        <v>0.30386714839684409</v>
      </c>
      <c r="K107" s="5">
        <v>55.616041526367511</v>
      </c>
    </row>
    <row r="108" spans="1:14" x14ac:dyDescent="0.35">
      <c r="A108" t="s">
        <v>12</v>
      </c>
      <c r="B108">
        <v>128</v>
      </c>
      <c r="C108">
        <v>12</v>
      </c>
      <c r="D108" s="7">
        <v>1408.6741995141131</v>
      </c>
      <c r="E108" s="8">
        <v>1408.6741995141131</v>
      </c>
      <c r="F108" s="3">
        <f>($D$64-D108)/$D$64</f>
        <v>0.34880499400393727</v>
      </c>
      <c r="G108" s="5">
        <v>100.4888710975647</v>
      </c>
      <c r="H108" s="3">
        <v>0.12610287554660521</v>
      </c>
      <c r="I108">
        <v>0.99988953094989907</v>
      </c>
      <c r="J108" s="5">
        <v>0.32517149328114359</v>
      </c>
      <c r="K108" s="5">
        <v>55.672305565130721</v>
      </c>
    </row>
    <row r="109" spans="1:14" x14ac:dyDescent="0.35">
      <c r="A109" t="s">
        <v>12</v>
      </c>
      <c r="B109">
        <v>128</v>
      </c>
      <c r="C109">
        <v>13</v>
      </c>
      <c r="D109" s="7">
        <v>1689.7848455119311</v>
      </c>
      <c r="E109" s="8">
        <v>1689.7848455119311</v>
      </c>
      <c r="F109" s="3">
        <f>($D$65-D109)/$D$65</f>
        <v>0.20671855932490366</v>
      </c>
      <c r="G109" s="5">
        <v>77.579617977142334</v>
      </c>
      <c r="H109" s="3">
        <v>0.2488862553958146</v>
      </c>
      <c r="I109">
        <v>0.9998614931972839</v>
      </c>
      <c r="J109" s="5">
        <v>0.26238549729152499</v>
      </c>
      <c r="K109" s="5">
        <v>55.89804652867867</v>
      </c>
    </row>
    <row r="110" spans="1:14" x14ac:dyDescent="0.35">
      <c r="A110" t="s">
        <v>12</v>
      </c>
      <c r="B110">
        <v>128</v>
      </c>
      <c r="C110">
        <v>14</v>
      </c>
      <c r="D110" s="7">
        <v>1459.6682176217521</v>
      </c>
      <c r="E110" s="8">
        <v>1459.6682176217521</v>
      </c>
      <c r="F110" s="3">
        <f>($D$66-D110)/$D$66</f>
        <v>0.28869656465109389</v>
      </c>
      <c r="G110" s="5">
        <v>74.08194637298584</v>
      </c>
      <c r="H110" s="3">
        <v>0.19983122841036799</v>
      </c>
      <c r="I110">
        <v>0.99996765345676586</v>
      </c>
      <c r="J110" s="5">
        <v>0.30009613608557301</v>
      </c>
      <c r="K110" s="5">
        <v>55.356768460615221</v>
      </c>
    </row>
    <row r="111" spans="1:14" x14ac:dyDescent="0.35">
      <c r="A111" t="s">
        <v>12</v>
      </c>
      <c r="B111">
        <v>128</v>
      </c>
      <c r="C111">
        <v>15</v>
      </c>
      <c r="D111" s="7">
        <v>1526.0825787851859</v>
      </c>
      <c r="E111" s="8">
        <v>1526.0825787851859</v>
      </c>
      <c r="F111" s="3">
        <f>($D$67-D111)/$D$67</f>
        <v>0.34453308252566883</v>
      </c>
      <c r="G111" s="5">
        <v>69.775938987731934</v>
      </c>
      <c r="H111" s="3">
        <v>0.14154703422690701</v>
      </c>
      <c r="I111">
        <v>0.99991573411776624</v>
      </c>
      <c r="J111" s="5">
        <v>0.28113680063767649</v>
      </c>
      <c r="K111" s="5">
        <v>56.699400484821673</v>
      </c>
    </row>
    <row r="112" spans="1:14" s="11" customFormat="1" x14ac:dyDescent="0.35">
      <c r="A112" s="11" t="s">
        <v>11</v>
      </c>
      <c r="B112" s="11">
        <v>128</v>
      </c>
      <c r="C112" s="11">
        <v>5</v>
      </c>
      <c r="D112" s="12">
        <v>2144.1433323434699</v>
      </c>
      <c r="E112" s="13">
        <v>2144.1433323434699</v>
      </c>
      <c r="F112" s="11">
        <v>0</v>
      </c>
      <c r="G112" s="15">
        <v>1.6659998893737791</v>
      </c>
      <c r="H112" s="14">
        <v>0.24122931211762769</v>
      </c>
      <c r="I112" s="11">
        <v>0.9997936360458145</v>
      </c>
      <c r="J112" s="15">
        <v>0.27375429557519321</v>
      </c>
      <c r="K112" s="15">
        <v>56.01510788089211</v>
      </c>
    </row>
    <row r="113" spans="1:14" x14ac:dyDescent="0.35">
      <c r="A113" t="s">
        <v>11</v>
      </c>
      <c r="B113">
        <v>128</v>
      </c>
      <c r="C113">
        <v>6</v>
      </c>
      <c r="D113" s="7">
        <v>2135.132221137158</v>
      </c>
      <c r="E113" s="8">
        <v>2135.132221137158</v>
      </c>
      <c r="F113">
        <v>0</v>
      </c>
      <c r="G113" s="5">
        <v>1.5970001220703121</v>
      </c>
      <c r="H113" s="3">
        <v>0.26286083617289252</v>
      </c>
      <c r="I113">
        <v>0.99981322096987446</v>
      </c>
      <c r="J113" s="5">
        <v>0.27494872228426531</v>
      </c>
      <c r="K113" s="5">
        <v>55.99215026307612</v>
      </c>
    </row>
    <row r="114" spans="1:14" x14ac:dyDescent="0.35">
      <c r="A114" t="s">
        <v>11</v>
      </c>
      <c r="B114">
        <v>128</v>
      </c>
      <c r="C114">
        <v>7</v>
      </c>
      <c r="D114" s="7">
        <v>2182.6069845005541</v>
      </c>
      <c r="E114" s="8">
        <v>2182.6069845005541</v>
      </c>
      <c r="F114">
        <v>0</v>
      </c>
      <c r="G114" s="5">
        <v>1.546000003814697</v>
      </c>
      <c r="H114" s="3">
        <v>0.53373401627874362</v>
      </c>
      <c r="I114">
        <v>0.99987616425309733</v>
      </c>
      <c r="J114" s="5">
        <v>0.24745666358607549</v>
      </c>
      <c r="K114" s="5">
        <v>56.312433064542716</v>
      </c>
    </row>
    <row r="115" spans="1:14" x14ac:dyDescent="0.35">
      <c r="A115" t="s">
        <v>11</v>
      </c>
      <c r="B115">
        <v>128</v>
      </c>
      <c r="C115">
        <v>8</v>
      </c>
      <c r="D115" s="7">
        <v>2075.1793811412399</v>
      </c>
      <c r="E115" s="8">
        <v>2075.1793811412399</v>
      </c>
      <c r="F115">
        <v>0</v>
      </c>
      <c r="G115" s="5">
        <v>1.7439999580383301</v>
      </c>
      <c r="H115" s="3">
        <v>0.23829169093283231</v>
      </c>
      <c r="I115">
        <v>0.99982178160455437</v>
      </c>
      <c r="J115" s="5">
        <v>0.2664450851076211</v>
      </c>
      <c r="K115" s="5">
        <v>56.197282227347273</v>
      </c>
    </row>
    <row r="116" spans="1:14" x14ac:dyDescent="0.35">
      <c r="A116" t="s">
        <v>11</v>
      </c>
      <c r="B116">
        <v>128</v>
      </c>
      <c r="C116">
        <v>9</v>
      </c>
      <c r="D116" s="7">
        <v>2091.5493619357899</v>
      </c>
      <c r="E116" s="8">
        <v>2091.5493619357899</v>
      </c>
      <c r="F116">
        <v>0</v>
      </c>
      <c r="G116" s="5">
        <v>1.6109998226165769</v>
      </c>
      <c r="H116" s="3">
        <v>0.2289697883962766</v>
      </c>
      <c r="I116">
        <v>1</v>
      </c>
      <c r="J116" s="5">
        <v>0.25483930710248248</v>
      </c>
      <c r="K116" s="5">
        <v>56.029319624158568</v>
      </c>
    </row>
    <row r="117" spans="1:14" x14ac:dyDescent="0.35">
      <c r="A117" t="s">
        <v>11</v>
      </c>
      <c r="B117">
        <v>128</v>
      </c>
      <c r="C117">
        <v>10</v>
      </c>
      <c r="D117" s="7">
        <v>2096.016684604615</v>
      </c>
      <c r="E117" s="8">
        <v>2096.016684604615</v>
      </c>
      <c r="F117">
        <v>0</v>
      </c>
      <c r="G117" s="5">
        <v>1.6180000305175779</v>
      </c>
      <c r="H117" s="3">
        <v>0.41190607935358858</v>
      </c>
      <c r="I117">
        <v>0.99979751865069688</v>
      </c>
      <c r="J117" s="5">
        <v>0.2666676691283939</v>
      </c>
      <c r="K117" s="5">
        <v>56.329357928621413</v>
      </c>
    </row>
    <row r="118" spans="1:14" x14ac:dyDescent="0.35">
      <c r="A118" t="s">
        <v>11</v>
      </c>
      <c r="B118">
        <v>128</v>
      </c>
      <c r="C118">
        <v>11</v>
      </c>
      <c r="D118" s="7">
        <v>2085.688150274606</v>
      </c>
      <c r="E118" s="8">
        <v>2085.688150274606</v>
      </c>
      <c r="F118">
        <v>0</v>
      </c>
      <c r="G118" s="5">
        <v>1.595000028610229</v>
      </c>
      <c r="H118" s="3">
        <v>0.2288385268119778</v>
      </c>
      <c r="I118">
        <v>0.99991226280573442</v>
      </c>
      <c r="J118" s="5">
        <v>0.26290550758375952</v>
      </c>
      <c r="K118" s="5">
        <v>55.946803602157949</v>
      </c>
    </row>
    <row r="119" spans="1:14" x14ac:dyDescent="0.35">
      <c r="A119" t="s">
        <v>11</v>
      </c>
      <c r="B119">
        <v>128</v>
      </c>
      <c r="C119">
        <v>12</v>
      </c>
      <c r="D119" s="7">
        <v>2141.530154414073</v>
      </c>
      <c r="E119" s="8">
        <v>2141.530154414073</v>
      </c>
      <c r="F119">
        <v>0</v>
      </c>
      <c r="G119" s="5">
        <v>1.836999893188477</v>
      </c>
      <c r="H119" s="3">
        <v>0.23564295654054371</v>
      </c>
      <c r="I119">
        <v>0.99988781681603411</v>
      </c>
      <c r="J119" s="5">
        <v>0.2099445431588681</v>
      </c>
      <c r="K119" s="5">
        <v>56.062313059613913</v>
      </c>
    </row>
    <row r="120" spans="1:14" x14ac:dyDescent="0.35">
      <c r="A120" t="s">
        <v>11</v>
      </c>
      <c r="B120">
        <v>128</v>
      </c>
      <c r="C120">
        <v>13</v>
      </c>
      <c r="D120" s="7">
        <v>2046.4275265107051</v>
      </c>
      <c r="E120" s="8">
        <v>2046.4275265107051</v>
      </c>
      <c r="F120">
        <v>0</v>
      </c>
      <c r="G120" s="5">
        <v>1.6619999408721919</v>
      </c>
      <c r="H120" s="3">
        <v>0.48539579262053228</v>
      </c>
      <c r="I120">
        <v>0.99974404367281866</v>
      </c>
      <c r="J120" s="5">
        <v>0.2979401225217273</v>
      </c>
      <c r="K120" s="5">
        <v>56.482859029039503</v>
      </c>
    </row>
    <row r="121" spans="1:14" x14ac:dyDescent="0.35">
      <c r="A121" t="s">
        <v>11</v>
      </c>
      <c r="B121">
        <v>128</v>
      </c>
      <c r="C121">
        <v>14</v>
      </c>
      <c r="D121" s="7">
        <v>2036.658569129102</v>
      </c>
      <c r="E121" s="8">
        <v>2036.658569129102</v>
      </c>
      <c r="F121">
        <v>0</v>
      </c>
      <c r="G121" s="5">
        <v>1.526999950408936</v>
      </c>
      <c r="H121" s="3">
        <v>0.21923645729564339</v>
      </c>
      <c r="I121">
        <v>0.9998559688785581</v>
      </c>
      <c r="J121" s="5">
        <v>0.27399124030047678</v>
      </c>
      <c r="K121" s="5">
        <v>56.178417394970893</v>
      </c>
    </row>
    <row r="122" spans="1:14" x14ac:dyDescent="0.35">
      <c r="A122" t="s">
        <v>11</v>
      </c>
      <c r="B122">
        <v>128</v>
      </c>
      <c r="C122">
        <v>15</v>
      </c>
      <c r="D122" s="7">
        <v>2315.9185655659462</v>
      </c>
      <c r="E122" s="8">
        <v>2315.9185655659462</v>
      </c>
      <c r="F122">
        <v>0</v>
      </c>
      <c r="G122" s="5">
        <v>1.812000036239624</v>
      </c>
      <c r="H122" s="3">
        <v>0.4025468153217453</v>
      </c>
      <c r="I122">
        <v>0.99991277419246527</v>
      </c>
      <c r="J122" s="5">
        <v>0.24037002500353219</v>
      </c>
      <c r="K122" s="5">
        <v>56.25012238925548</v>
      </c>
    </row>
    <row r="123" spans="1:14" s="11" customFormat="1" x14ac:dyDescent="0.35">
      <c r="D123" s="12"/>
      <c r="E123" s="13"/>
      <c r="F123" s="14"/>
      <c r="G123" s="15"/>
      <c r="H123" s="14"/>
      <c r="J123" s="15"/>
      <c r="K123" s="15"/>
      <c r="M123" s="14">
        <f>AVERAGE(F123:F133)</f>
        <v>0.15615634287528682</v>
      </c>
      <c r="N123" s="16" t="s">
        <v>5</v>
      </c>
    </row>
    <row r="124" spans="1:14" x14ac:dyDescent="0.35">
      <c r="A124" t="s">
        <v>12</v>
      </c>
      <c r="B124">
        <v>128</v>
      </c>
      <c r="C124">
        <v>6</v>
      </c>
      <c r="D124" s="7">
        <v>1973.610106974704</v>
      </c>
      <c r="E124" s="8">
        <v>1973.610106974704</v>
      </c>
      <c r="F124" s="3">
        <f>($D$113-D124)/$D$113</f>
        <v>7.5649701017779777E-2</v>
      </c>
      <c r="G124" s="5">
        <v>76.608062982559204</v>
      </c>
      <c r="H124" s="3">
        <v>0.64516465529597922</v>
      </c>
      <c r="I124">
        <v>1</v>
      </c>
      <c r="J124" s="5">
        <v>0.35576361184361499</v>
      </c>
      <c r="K124" s="5">
        <v>56.181682656363222</v>
      </c>
      <c r="M124" s="3">
        <f>AVERAGE(H123:H133)</f>
        <v>0.63799423908858499</v>
      </c>
      <c r="N124" s="9" t="s">
        <v>13</v>
      </c>
    </row>
    <row r="125" spans="1:14" x14ac:dyDescent="0.35">
      <c r="A125" t="s">
        <v>12</v>
      </c>
      <c r="B125">
        <v>128</v>
      </c>
      <c r="C125">
        <v>7</v>
      </c>
      <c r="D125" s="7">
        <v>2157.7867954377721</v>
      </c>
      <c r="E125" s="8">
        <v>2157.7867954377721</v>
      </c>
      <c r="F125" s="3">
        <f>($D$114-D125)/$D$114</f>
        <v>1.1371808685227677E-2</v>
      </c>
      <c r="G125" s="5">
        <v>67.529440879821777</v>
      </c>
      <c r="H125" s="3">
        <v>0.69912776722777326</v>
      </c>
      <c r="I125">
        <v>1</v>
      </c>
      <c r="J125" s="5">
        <v>0.29001249806437152</v>
      </c>
      <c r="K125" s="5">
        <v>56.291927286153218</v>
      </c>
      <c r="M125">
        <f>AVERAGE(I123:I133)</f>
        <v>1</v>
      </c>
      <c r="N125" s="9" t="s">
        <v>14</v>
      </c>
    </row>
    <row r="126" spans="1:14" x14ac:dyDescent="0.35">
      <c r="A126" t="s">
        <v>12</v>
      </c>
      <c r="B126">
        <v>128</v>
      </c>
      <c r="C126">
        <v>8</v>
      </c>
      <c r="D126" s="7">
        <v>1995.509083888913</v>
      </c>
      <c r="E126" s="8">
        <v>1995.509083888913</v>
      </c>
      <c r="F126" s="3">
        <f>($D$115-D126)/$D$115</f>
        <v>3.8392005036457344E-2</v>
      </c>
      <c r="G126" s="5">
        <v>74.219361305236816</v>
      </c>
      <c r="H126" s="3">
        <v>0.60422712510198595</v>
      </c>
      <c r="I126">
        <v>0.99999999999999978</v>
      </c>
      <c r="J126" s="5">
        <v>0.3261073911519245</v>
      </c>
      <c r="K126" s="5">
        <v>56.199627212627682</v>
      </c>
      <c r="M126" s="5">
        <f>AVERAGE(J123:J133)</f>
        <v>0.31930231923340152</v>
      </c>
      <c r="N126" s="9" t="s">
        <v>15</v>
      </c>
    </row>
    <row r="127" spans="1:14" x14ac:dyDescent="0.35">
      <c r="A127" t="s">
        <v>12</v>
      </c>
      <c r="B127">
        <v>128</v>
      </c>
      <c r="C127">
        <v>9</v>
      </c>
      <c r="D127" s="7">
        <v>1901.98706117082</v>
      </c>
      <c r="E127" s="8">
        <v>1901.98706117082</v>
      </c>
      <c r="F127" s="3">
        <f>($D$116-D127)/$D$116</f>
        <v>9.0632477633482422E-2</v>
      </c>
      <c r="G127" s="5">
        <v>62.479217767715447</v>
      </c>
      <c r="H127" s="3">
        <v>0.5856106876225462</v>
      </c>
      <c r="I127">
        <v>1</v>
      </c>
      <c r="J127" s="5">
        <v>0.3208508868796755</v>
      </c>
      <c r="K127" s="5">
        <v>56.048572253882327</v>
      </c>
      <c r="M127" s="5">
        <f>AVERAGE(K123:K133)</f>
        <v>56.276298077111846</v>
      </c>
      <c r="N127" s="9" t="s">
        <v>16</v>
      </c>
    </row>
    <row r="128" spans="1:14" x14ac:dyDescent="0.35">
      <c r="A128" t="s">
        <v>12</v>
      </c>
      <c r="B128">
        <v>128</v>
      </c>
      <c r="C128">
        <v>10</v>
      </c>
      <c r="D128" s="7">
        <v>1979.95646107073</v>
      </c>
      <c r="E128" s="8">
        <v>1979.95646107073</v>
      </c>
      <c r="F128" s="3">
        <f>($D$117-D128)/$D$117</f>
        <v>5.5371803281126133E-2</v>
      </c>
      <c r="G128" s="5">
        <v>61.477737426757813</v>
      </c>
      <c r="H128" s="3">
        <v>0.63918630874290738</v>
      </c>
      <c r="I128">
        <v>1</v>
      </c>
      <c r="J128" s="5">
        <v>0.30457304757137688</v>
      </c>
      <c r="K128" s="5">
        <v>56.289311563746317</v>
      </c>
      <c r="M128" s="5">
        <f>AVERAGE(G123:G133)</f>
        <v>64.438573201497391</v>
      </c>
      <c r="N128" s="10" t="s">
        <v>6</v>
      </c>
    </row>
    <row r="129" spans="1:14" x14ac:dyDescent="0.35">
      <c r="A129" t="s">
        <v>12</v>
      </c>
      <c r="B129">
        <v>128</v>
      </c>
      <c r="C129">
        <v>11</v>
      </c>
      <c r="D129" s="7">
        <v>2070.8471742823172</v>
      </c>
      <c r="E129" s="8">
        <v>2070.8471742823172</v>
      </c>
      <c r="F129" s="3">
        <f>($D$118-D129)/$D$118</f>
        <v>7.1156255983593764E-3</v>
      </c>
      <c r="G129" s="5">
        <v>56.5712730884552</v>
      </c>
      <c r="H129" s="3">
        <v>0.66725998257806107</v>
      </c>
      <c r="I129">
        <v>0.99999999999999978</v>
      </c>
      <c r="J129" s="5">
        <v>0.31229368685293452</v>
      </c>
      <c r="K129" s="5">
        <v>56.243825107369808</v>
      </c>
    </row>
    <row r="130" spans="1:14" x14ac:dyDescent="0.35">
      <c r="A130" t="s">
        <v>12</v>
      </c>
      <c r="B130">
        <v>128</v>
      </c>
      <c r="C130">
        <v>12</v>
      </c>
      <c r="D130" s="7">
        <v>1954.097462511276</v>
      </c>
      <c r="E130" s="8">
        <v>1954.097462511276</v>
      </c>
      <c r="F130" s="3">
        <f>($D$119-D130)/$D$119</f>
        <v>8.7522789028426681E-2</v>
      </c>
      <c r="G130" s="5">
        <v>59.376209497451782</v>
      </c>
      <c r="H130" s="3">
        <v>0.6431681066000885</v>
      </c>
      <c r="I130">
        <v>1</v>
      </c>
      <c r="J130" s="5">
        <v>0.35231212422828118</v>
      </c>
      <c r="K130" s="5">
        <v>56.278059066845557</v>
      </c>
    </row>
    <row r="131" spans="1:14" x14ac:dyDescent="0.35">
      <c r="A131" t="s">
        <v>12</v>
      </c>
      <c r="B131">
        <v>128</v>
      </c>
      <c r="C131">
        <v>13</v>
      </c>
      <c r="F131" s="3">
        <f>($D$120-D131)/$D$120</f>
        <v>1</v>
      </c>
    </row>
    <row r="132" spans="1:14" x14ac:dyDescent="0.35">
      <c r="A132" t="s">
        <v>12</v>
      </c>
      <c r="B132">
        <v>128</v>
      </c>
      <c r="C132">
        <v>14</v>
      </c>
      <c r="D132" s="7">
        <v>1902.9764694911109</v>
      </c>
      <c r="E132" s="8">
        <v>1902.9764694911109</v>
      </c>
      <c r="F132" s="3">
        <f>($D$121-D132)/$D$121</f>
        <v>6.5637953098419952E-2</v>
      </c>
      <c r="G132" s="5">
        <v>60.537510395050049</v>
      </c>
      <c r="H132" s="3">
        <v>0.62501452914452771</v>
      </c>
      <c r="I132">
        <v>1</v>
      </c>
      <c r="J132" s="5">
        <v>0.32112379461415258</v>
      </c>
      <c r="K132" s="5">
        <v>56.520685695971054</v>
      </c>
    </row>
    <row r="133" spans="1:14" x14ac:dyDescent="0.35">
      <c r="A133" t="s">
        <v>12</v>
      </c>
      <c r="B133">
        <v>128</v>
      </c>
      <c r="C133">
        <v>15</v>
      </c>
      <c r="D133" s="7">
        <v>2015.1519227908409</v>
      </c>
      <c r="E133" s="8">
        <v>2015.1519227908409</v>
      </c>
      <c r="F133" s="3">
        <f>($D$122-D133)/$D$122</f>
        <v>0.12986926537358895</v>
      </c>
      <c r="G133" s="5">
        <v>61.148345470428467</v>
      </c>
      <c r="H133" s="3">
        <v>0.63318898948339608</v>
      </c>
      <c r="I133">
        <v>1</v>
      </c>
      <c r="J133" s="5">
        <v>0.29068383189428187</v>
      </c>
      <c r="K133" s="5">
        <v>56.432991851047383</v>
      </c>
    </row>
    <row r="134" spans="1:14" s="11" customFormat="1" x14ac:dyDescent="0.35">
      <c r="A134" s="11" t="s">
        <v>12</v>
      </c>
      <c r="B134" s="11">
        <v>128</v>
      </c>
      <c r="C134" s="11">
        <v>5</v>
      </c>
      <c r="D134" s="12">
        <v>1922.9574966628761</v>
      </c>
      <c r="E134" s="13">
        <v>1922.9574966628761</v>
      </c>
      <c r="F134" s="14">
        <f>($D$112-D134)/$D$112</f>
        <v>0.10315813889123064</v>
      </c>
      <c r="G134" s="15">
        <v>65.284309387207031</v>
      </c>
      <c r="H134" s="14">
        <v>0.29235107108605862</v>
      </c>
      <c r="I134" s="11">
        <v>1</v>
      </c>
      <c r="J134" s="15">
        <v>0.23352457291456449</v>
      </c>
      <c r="K134" s="15">
        <v>56.080494023601602</v>
      </c>
      <c r="M134" s="14">
        <f>AVERAGE(F134:F144)</f>
        <v>0.14805698420319152</v>
      </c>
      <c r="N134" s="16" t="s">
        <v>5</v>
      </c>
    </row>
    <row r="135" spans="1:14" x14ac:dyDescent="0.35">
      <c r="A135" t="s">
        <v>12</v>
      </c>
      <c r="B135">
        <v>128</v>
      </c>
      <c r="C135">
        <v>6</v>
      </c>
      <c r="D135" s="7">
        <v>1880.0244796239269</v>
      </c>
      <c r="E135" s="8">
        <v>1880.0244796239269</v>
      </c>
      <c r="F135" s="3">
        <f>($D$113-D135)/$D$113</f>
        <v>0.11948100402763923</v>
      </c>
      <c r="G135" s="5">
        <v>65.510315656661987</v>
      </c>
      <c r="H135" s="3">
        <v>0.41010908386281042</v>
      </c>
      <c r="I135">
        <v>1</v>
      </c>
      <c r="J135" s="5">
        <v>0.34955690864121353</v>
      </c>
      <c r="K135" s="5">
        <v>56.416424813167119</v>
      </c>
      <c r="M135" s="3">
        <f>AVERAGE(H134:H144)</f>
        <v>0.27915770565517284</v>
      </c>
      <c r="N135" s="9" t="s">
        <v>13</v>
      </c>
    </row>
    <row r="136" spans="1:14" x14ac:dyDescent="0.35">
      <c r="A136" t="s">
        <v>12</v>
      </c>
      <c r="B136">
        <v>128</v>
      </c>
      <c r="C136">
        <v>7</v>
      </c>
      <c r="D136" s="7">
        <v>1956.0497935752251</v>
      </c>
      <c r="E136" s="8">
        <v>1956.0497935752251</v>
      </c>
      <c r="F136" s="3">
        <f>($D$114-D136)/$D$114</f>
        <v>0.10380118479148552</v>
      </c>
      <c r="G136" s="5">
        <v>69.712279319763184</v>
      </c>
      <c r="H136" s="3">
        <v>0.30980863413001708</v>
      </c>
      <c r="I136">
        <v>1</v>
      </c>
      <c r="J136" s="5">
        <v>0.28221997500874318</v>
      </c>
      <c r="K136" s="5">
        <v>56.391513265927777</v>
      </c>
      <c r="M136">
        <f>AVERAGE(I134:I144)</f>
        <v>0.99999664245766862</v>
      </c>
      <c r="N136" s="9" t="s">
        <v>14</v>
      </c>
    </row>
    <row r="137" spans="1:14" x14ac:dyDescent="0.35">
      <c r="A137" t="s">
        <v>12</v>
      </c>
      <c r="B137">
        <v>128</v>
      </c>
      <c r="C137">
        <v>8</v>
      </c>
      <c r="D137" s="7">
        <v>1850.7532795761549</v>
      </c>
      <c r="E137" s="8">
        <v>1850.7532795761549</v>
      </c>
      <c r="F137" s="3">
        <f>($D$115-D137)/$D$115</f>
        <v>0.10814780813871734</v>
      </c>
      <c r="G137" s="5">
        <v>72.578452348709106</v>
      </c>
      <c r="H137" s="3">
        <v>0.26567331043918918</v>
      </c>
      <c r="I137">
        <v>0.99999999999999989</v>
      </c>
      <c r="J137" s="5">
        <v>0.34247738324375721</v>
      </c>
      <c r="K137" s="5">
        <v>56.347417375877328</v>
      </c>
      <c r="M137" s="5">
        <f>AVERAGE(J134:J144)</f>
        <v>0.30528098154177441</v>
      </c>
      <c r="N137" s="9" t="s">
        <v>15</v>
      </c>
    </row>
    <row r="138" spans="1:14" x14ac:dyDescent="0.35">
      <c r="A138" t="s">
        <v>12</v>
      </c>
      <c r="B138">
        <v>128</v>
      </c>
      <c r="C138">
        <v>9</v>
      </c>
      <c r="D138" s="7">
        <v>1722.685179738492</v>
      </c>
      <c r="E138" s="8">
        <v>1722.685179738492</v>
      </c>
      <c r="F138" s="3">
        <f>($D$116-D138)/$D$116</f>
        <v>0.17635930038768166</v>
      </c>
      <c r="G138" s="5">
        <v>68.108908176422119</v>
      </c>
      <c r="H138" s="3">
        <v>0.27013867594388258</v>
      </c>
      <c r="I138">
        <v>1</v>
      </c>
      <c r="J138" s="5">
        <v>0.3242141953128323</v>
      </c>
      <c r="K138" s="5">
        <v>56.140925946529222</v>
      </c>
      <c r="M138" s="5">
        <f>AVERAGE(K134:K144)</f>
        <v>56.30941989149256</v>
      </c>
      <c r="N138" s="9" t="s">
        <v>16</v>
      </c>
    </row>
    <row r="139" spans="1:14" x14ac:dyDescent="0.35">
      <c r="A139" t="s">
        <v>12</v>
      </c>
      <c r="B139">
        <v>128</v>
      </c>
      <c r="C139">
        <v>10</v>
      </c>
      <c r="D139" s="7">
        <v>1703.4245500945381</v>
      </c>
      <c r="E139" s="8">
        <v>1703.4245500945381</v>
      </c>
      <c r="F139" s="3">
        <f>($D$117-D139)/$D$117</f>
        <v>0.18730391670719648</v>
      </c>
      <c r="G139" s="5">
        <v>73.056744575500488</v>
      </c>
      <c r="H139" s="3">
        <v>0.28653663325000328</v>
      </c>
      <c r="I139">
        <v>1</v>
      </c>
      <c r="J139" s="5">
        <v>0.29698432946918352</v>
      </c>
      <c r="K139" s="5">
        <v>56.171092757900936</v>
      </c>
      <c r="M139" s="5">
        <f>AVERAGE(G134:G144)</f>
        <v>67.871568918228149</v>
      </c>
      <c r="N139" s="10" t="s">
        <v>6</v>
      </c>
    </row>
    <row r="140" spans="1:14" x14ac:dyDescent="0.35">
      <c r="A140" t="s">
        <v>12</v>
      </c>
      <c r="B140">
        <v>128</v>
      </c>
      <c r="C140">
        <v>11</v>
      </c>
      <c r="D140" s="7">
        <v>1879.9746074753079</v>
      </c>
      <c r="E140" s="8">
        <v>1879.9746074753079</v>
      </c>
      <c r="F140" s="3">
        <f>($D$118-D140)/$D$118</f>
        <v>9.8631016708904132E-2</v>
      </c>
      <c r="G140" s="5">
        <v>61.616357088088989</v>
      </c>
      <c r="H140" s="3">
        <v>0.29512478991954799</v>
      </c>
      <c r="I140">
        <v>1</v>
      </c>
      <c r="J140" s="5">
        <v>0.31527301583158801</v>
      </c>
      <c r="K140" s="5">
        <v>56.446256518061467</v>
      </c>
    </row>
    <row r="141" spans="1:14" x14ac:dyDescent="0.35">
      <c r="A141" t="s">
        <v>12</v>
      </c>
      <c r="B141">
        <v>128</v>
      </c>
      <c r="C141">
        <v>12</v>
      </c>
      <c r="D141" s="7">
        <v>1664.851255631778</v>
      </c>
      <c r="E141" s="8">
        <v>1664.851255631778</v>
      </c>
      <c r="F141" s="3">
        <f>($D$119-D141)/$D$119</f>
        <v>0.22258799288899822</v>
      </c>
      <c r="G141" s="5">
        <v>70.850417375564575</v>
      </c>
      <c r="H141" s="3">
        <v>0.22658650724508039</v>
      </c>
      <c r="I141">
        <v>1</v>
      </c>
      <c r="J141" s="5">
        <v>0.34443150251957622</v>
      </c>
      <c r="K141" s="5">
        <v>56.179080540514533</v>
      </c>
    </row>
    <row r="142" spans="1:14" x14ac:dyDescent="0.35">
      <c r="A142" t="s">
        <v>12</v>
      </c>
      <c r="B142">
        <v>128</v>
      </c>
      <c r="C142">
        <v>13</v>
      </c>
      <c r="D142" s="7">
        <v>1740.9315462085081</v>
      </c>
      <c r="E142" s="8">
        <v>1740.9315462085081</v>
      </c>
      <c r="F142" s="3">
        <f>($D$120-D142)/$D$120</f>
        <v>0.14928257968807132</v>
      </c>
      <c r="G142" s="5">
        <v>63.957693338394172</v>
      </c>
      <c r="H142" s="3">
        <v>0.2085794631550533</v>
      </c>
      <c r="I142">
        <v>0.99996306703435422</v>
      </c>
      <c r="J142" s="5">
        <v>0.27346163254091038</v>
      </c>
      <c r="K142" s="5">
        <v>56.394214618434141</v>
      </c>
    </row>
    <row r="143" spans="1:14" x14ac:dyDescent="0.35">
      <c r="A143" t="s">
        <v>12</v>
      </c>
      <c r="B143">
        <v>128</v>
      </c>
      <c r="C143">
        <v>14</v>
      </c>
      <c r="D143" s="7">
        <v>1750.836288237939</v>
      </c>
      <c r="E143" s="8">
        <v>1750.836288237939</v>
      </c>
      <c r="F143" s="3">
        <f>($D$121-D143)/$D$121</f>
        <v>0.14033883009334441</v>
      </c>
      <c r="G143" s="5">
        <v>63.50728178024292</v>
      </c>
      <c r="H143" s="3">
        <v>0.27873374636950837</v>
      </c>
      <c r="I143">
        <v>1</v>
      </c>
      <c r="J143" s="5">
        <v>0.31623105186493689</v>
      </c>
      <c r="K143" s="5">
        <v>56.456306711952003</v>
      </c>
    </row>
    <row r="144" spans="1:14" x14ac:dyDescent="0.35">
      <c r="A144" t="s">
        <v>12</v>
      </c>
      <c r="B144">
        <v>128</v>
      </c>
      <c r="C144">
        <v>15</v>
      </c>
      <c r="D144" s="7">
        <v>1807.4932584190001</v>
      </c>
      <c r="E144" s="8">
        <v>1807.4932584190001</v>
      </c>
      <c r="F144" s="3">
        <f>($D$122-D144)/$D$122</f>
        <v>0.21953505391183784</v>
      </c>
      <c r="G144" s="5">
        <v>72.404499053955078</v>
      </c>
      <c r="H144" s="3">
        <v>0.22709284680575029</v>
      </c>
      <c r="I144">
        <v>0.99999999999999989</v>
      </c>
      <c r="J144" s="5">
        <v>0.27971622961221299</v>
      </c>
      <c r="K144" s="5">
        <v>56.379892234452058</v>
      </c>
    </row>
    <row r="145" spans="1:14" s="11" customFormat="1" x14ac:dyDescent="0.35">
      <c r="A145" s="11" t="s">
        <v>12</v>
      </c>
      <c r="B145" s="11">
        <v>128</v>
      </c>
      <c r="C145" s="11">
        <v>5</v>
      </c>
      <c r="D145" s="12">
        <v>1965.989428143547</v>
      </c>
      <c r="E145" s="13">
        <v>1965.989428143547</v>
      </c>
      <c r="F145" s="14">
        <f>($D$112-D145)/$D$112</f>
        <v>8.30886170306568E-2</v>
      </c>
      <c r="G145" s="15">
        <v>74.261824131011963</v>
      </c>
      <c r="H145" s="14">
        <v>0.32768004018571079</v>
      </c>
      <c r="I145" s="11">
        <v>1</v>
      </c>
      <c r="J145" s="15">
        <v>0.22657671754048581</v>
      </c>
      <c r="K145" s="15">
        <v>56.330515615817752</v>
      </c>
      <c r="M145" s="14">
        <f>AVERAGE(F145:F155)</f>
        <v>0.13294931112440758</v>
      </c>
      <c r="N145" s="16" t="s">
        <v>5</v>
      </c>
    </row>
    <row r="146" spans="1:14" x14ac:dyDescent="0.35">
      <c r="A146" t="s">
        <v>12</v>
      </c>
      <c r="B146">
        <v>128</v>
      </c>
      <c r="C146">
        <v>6</v>
      </c>
      <c r="D146" s="7">
        <v>1894.5818148748001</v>
      </c>
      <c r="E146" s="8">
        <v>1894.5818148748001</v>
      </c>
      <c r="F146" s="3">
        <f>($D$113-D146)/$D$113</f>
        <v>0.11266300226327074</v>
      </c>
      <c r="G146" s="5">
        <v>67.326961517333984</v>
      </c>
      <c r="H146" s="3">
        <v>0.40828317413355802</v>
      </c>
      <c r="I146">
        <v>0.99999999999999989</v>
      </c>
      <c r="J146" s="5">
        <v>0.35001013203105591</v>
      </c>
      <c r="K146" s="5">
        <v>56.21288289141868</v>
      </c>
      <c r="M146" s="3">
        <f>AVERAGE(H145:H155)</f>
        <v>0.32780052654783659</v>
      </c>
      <c r="N146" s="9" t="s">
        <v>13</v>
      </c>
    </row>
    <row r="147" spans="1:14" x14ac:dyDescent="0.35">
      <c r="A147" t="s">
        <v>12</v>
      </c>
      <c r="B147">
        <v>128</v>
      </c>
      <c r="C147">
        <v>7</v>
      </c>
      <c r="D147" s="7">
        <v>2027.9804375288461</v>
      </c>
      <c r="E147" s="8">
        <v>2027.9804375288461</v>
      </c>
      <c r="F147" s="3">
        <f>($D$114-D147)/$D$114</f>
        <v>7.0844887819824856E-2</v>
      </c>
      <c r="G147" s="5">
        <v>67.53679084777832</v>
      </c>
      <c r="H147" s="3">
        <v>0.45662559878680481</v>
      </c>
      <c r="I147">
        <v>1</v>
      </c>
      <c r="J147" s="5">
        <v>0.28557480379197159</v>
      </c>
      <c r="K147" s="5">
        <v>56.381484032345817</v>
      </c>
      <c r="M147">
        <f>AVERAGE(I145:I155)</f>
        <v>1</v>
      </c>
      <c r="N147" s="9" t="s">
        <v>14</v>
      </c>
    </row>
    <row r="148" spans="1:14" x14ac:dyDescent="0.35">
      <c r="A148" t="s">
        <v>12</v>
      </c>
      <c r="B148">
        <v>128</v>
      </c>
      <c r="C148">
        <v>8</v>
      </c>
      <c r="D148" s="7">
        <v>1890.7318477787101</v>
      </c>
      <c r="E148" s="8">
        <v>1890.7318477787101</v>
      </c>
      <c r="F148" s="3">
        <f>($D$115-D148)/$D$115</f>
        <v>8.8882693726984388E-2</v>
      </c>
      <c r="G148" s="5">
        <v>69.465590238571167</v>
      </c>
      <c r="H148" s="3">
        <v>0.33577378165387212</v>
      </c>
      <c r="I148">
        <v>0.99999999999999989</v>
      </c>
      <c r="J148" s="5">
        <v>0.32329629326591008</v>
      </c>
      <c r="K148" s="5">
        <v>56.193362774521297</v>
      </c>
      <c r="M148" s="5">
        <f>AVERAGE(J145:J155)</f>
        <v>0.29832815245692584</v>
      </c>
      <c r="N148" s="9" t="s">
        <v>15</v>
      </c>
    </row>
    <row r="149" spans="1:14" x14ac:dyDescent="0.35">
      <c r="A149" t="s">
        <v>12</v>
      </c>
      <c r="B149">
        <v>128</v>
      </c>
      <c r="C149">
        <v>9</v>
      </c>
      <c r="D149" s="7">
        <v>1781.4981941121241</v>
      </c>
      <c r="E149" s="8">
        <v>1781.4981941121241</v>
      </c>
      <c r="F149" s="3">
        <f>($D$116-D149)/$D$116</f>
        <v>0.14823994760358147</v>
      </c>
      <c r="G149" s="5">
        <v>76.831352472305298</v>
      </c>
      <c r="H149" s="3">
        <v>0.37625962775525201</v>
      </c>
      <c r="I149">
        <v>1</v>
      </c>
      <c r="J149" s="5">
        <v>0.31262695196259283</v>
      </c>
      <c r="K149" s="5">
        <v>56.118210450419816</v>
      </c>
      <c r="M149" s="5">
        <f>AVERAGE(K145:K155)</f>
        <v>56.376365328372323</v>
      </c>
      <c r="N149" s="9" t="s">
        <v>16</v>
      </c>
    </row>
    <row r="150" spans="1:14" x14ac:dyDescent="0.35">
      <c r="A150" t="s">
        <v>12</v>
      </c>
      <c r="B150">
        <v>128</v>
      </c>
      <c r="C150">
        <v>10</v>
      </c>
      <c r="D150" s="7">
        <v>1806.740574078498</v>
      </c>
      <c r="E150" s="8">
        <v>1806.740574078498</v>
      </c>
      <c r="F150" s="3">
        <f>($D$117-D150)/$D$117</f>
        <v>0.13801231290326538</v>
      </c>
      <c r="G150" s="5">
        <v>65.929805994033813</v>
      </c>
      <c r="H150" s="3">
        <v>0.29656484307166059</v>
      </c>
      <c r="I150">
        <v>1</v>
      </c>
      <c r="J150" s="5">
        <v>0.28038540672160711</v>
      </c>
      <c r="K150" s="5">
        <v>56.244923289890899</v>
      </c>
      <c r="M150" s="5">
        <f>AVERAGE(G145:G155)</f>
        <v>69.721484422683716</v>
      </c>
      <c r="N150" s="10" t="s">
        <v>6</v>
      </c>
    </row>
    <row r="151" spans="1:14" x14ac:dyDescent="0.35">
      <c r="A151" t="s">
        <v>12</v>
      </c>
      <c r="B151">
        <v>128</v>
      </c>
      <c r="C151">
        <v>11</v>
      </c>
      <c r="D151" s="7">
        <v>1867.757012363644</v>
      </c>
      <c r="E151" s="8">
        <v>1867.757012363644</v>
      </c>
      <c r="F151" s="3">
        <f>($D$118-D151)/$D$118</f>
        <v>0.10448884119242309</v>
      </c>
      <c r="G151" s="5">
        <v>66.7435142993927</v>
      </c>
      <c r="H151" s="3">
        <v>0.31284943688530398</v>
      </c>
      <c r="I151">
        <v>1</v>
      </c>
      <c r="J151" s="5">
        <v>0.29258879400309018</v>
      </c>
      <c r="K151" s="5">
        <v>56.495352178291107</v>
      </c>
    </row>
    <row r="152" spans="1:14" x14ac:dyDescent="0.35">
      <c r="A152" t="s">
        <v>12</v>
      </c>
      <c r="B152">
        <v>128</v>
      </c>
      <c r="C152">
        <v>12</v>
      </c>
      <c r="D152" s="7">
        <v>1662.4432576211921</v>
      </c>
      <c r="E152" s="8">
        <v>1662.4432576211921</v>
      </c>
      <c r="F152" s="3">
        <f>($D$119-D152)/$D$119</f>
        <v>0.22371242160909943</v>
      </c>
      <c r="G152" s="5">
        <v>65.589873075485229</v>
      </c>
      <c r="H152" s="3">
        <v>0.26301387821450473</v>
      </c>
      <c r="I152">
        <v>0.99999999999999989</v>
      </c>
      <c r="J152" s="5">
        <v>0.35801886531244448</v>
      </c>
      <c r="K152" s="5">
        <v>56.6572693109065</v>
      </c>
    </row>
    <row r="153" spans="1:14" x14ac:dyDescent="0.35">
      <c r="A153" t="s">
        <v>12</v>
      </c>
      <c r="B153">
        <v>128</v>
      </c>
      <c r="C153">
        <v>13</v>
      </c>
      <c r="D153" s="7">
        <v>1809.641035722615</v>
      </c>
      <c r="E153" s="8">
        <v>1809.641035722615</v>
      </c>
      <c r="F153" s="3">
        <f>($D$120-D153)/$D$120</f>
        <v>0.11570724480618513</v>
      </c>
      <c r="G153" s="5">
        <v>70.558455228805542</v>
      </c>
      <c r="H153" s="3">
        <v>0.26158836659525359</v>
      </c>
      <c r="I153">
        <v>1</v>
      </c>
      <c r="J153" s="5">
        <v>0.2556224479312148</v>
      </c>
      <c r="K153" s="5">
        <v>56.548321093868701</v>
      </c>
    </row>
    <row r="154" spans="1:14" x14ac:dyDescent="0.35">
      <c r="A154" t="s">
        <v>12</v>
      </c>
      <c r="B154">
        <v>128</v>
      </c>
      <c r="C154">
        <v>14</v>
      </c>
      <c r="D154" s="7">
        <v>1685.056180056027</v>
      </c>
      <c r="E154" s="8">
        <v>1685.056180056027</v>
      </c>
      <c r="F154" s="3">
        <f>($D$121-D154)/$D$121</f>
        <v>0.17263688396402357</v>
      </c>
      <c r="G154" s="5">
        <v>74.212499141693115</v>
      </c>
      <c r="H154" s="3">
        <v>0.24363845378971899</v>
      </c>
      <c r="I154">
        <v>1</v>
      </c>
      <c r="J154" s="5">
        <v>0.31947110493436792</v>
      </c>
      <c r="K154" s="5">
        <v>56.552817893641141</v>
      </c>
    </row>
    <row r="155" spans="1:14" x14ac:dyDescent="0.35">
      <c r="A155" t="s">
        <v>12</v>
      </c>
      <c r="B155">
        <v>128</v>
      </c>
      <c r="C155">
        <v>15</v>
      </c>
      <c r="D155" s="7">
        <v>1843.0877328292729</v>
      </c>
      <c r="E155" s="8">
        <v>1843.0877328292729</v>
      </c>
      <c r="F155" s="3">
        <f>($D$122-D155)/$D$122</f>
        <v>0.20416556944916869</v>
      </c>
      <c r="G155" s="5">
        <v>68.479661703109741</v>
      </c>
      <c r="H155" s="3">
        <v>0.32352859095456349</v>
      </c>
      <c r="I155">
        <v>1</v>
      </c>
      <c r="J155" s="5">
        <v>0.27743815953144352</v>
      </c>
      <c r="K155" s="5">
        <v>56.404879080973821</v>
      </c>
    </row>
    <row r="156" spans="1:14" s="11" customFormat="1" x14ac:dyDescent="0.35">
      <c r="A156" s="11" t="s">
        <v>12</v>
      </c>
      <c r="B156" s="11">
        <v>128</v>
      </c>
      <c r="C156" s="11">
        <v>5</v>
      </c>
      <c r="D156" s="12"/>
      <c r="E156" s="13"/>
      <c r="F156" s="14">
        <f>($D$112-D156)/$D$112</f>
        <v>1</v>
      </c>
      <c r="G156" s="15"/>
      <c r="H156" s="14"/>
      <c r="J156" s="15"/>
      <c r="K156" s="15"/>
      <c r="M156" s="14">
        <f>AVERAGE(F156:F166)</f>
        <v>0.35116998419075868</v>
      </c>
      <c r="N156" s="16" t="s">
        <v>5</v>
      </c>
    </row>
    <row r="157" spans="1:14" x14ac:dyDescent="0.35">
      <c r="A157" t="s">
        <v>12</v>
      </c>
      <c r="B157">
        <v>128</v>
      </c>
      <c r="C157">
        <v>6</v>
      </c>
      <c r="D157" s="7">
        <v>1539.6249730799791</v>
      </c>
      <c r="E157" s="8">
        <v>1539.6249730799791</v>
      </c>
      <c r="F157" s="3">
        <f>($D$113-D157)/$D$113</f>
        <v>0.27890883860111271</v>
      </c>
      <c r="G157" s="5">
        <v>87.226357460021973</v>
      </c>
      <c r="H157" s="3">
        <v>0.16439067195212231</v>
      </c>
      <c r="I157">
        <v>1</v>
      </c>
      <c r="J157" s="5">
        <v>0.33690923712983228</v>
      </c>
      <c r="K157" s="5">
        <v>55.950579061098942</v>
      </c>
      <c r="M157" s="3">
        <f>AVERAGE(H156:H166)</f>
        <v>0.24120830881050973</v>
      </c>
      <c r="N157" s="9" t="s">
        <v>13</v>
      </c>
    </row>
    <row r="158" spans="1:14" x14ac:dyDescent="0.35">
      <c r="A158" t="s">
        <v>12</v>
      </c>
      <c r="B158">
        <v>128</v>
      </c>
      <c r="C158">
        <v>7</v>
      </c>
      <c r="D158" s="7">
        <v>1855.7013549431099</v>
      </c>
      <c r="E158" s="8">
        <v>1855.7013549431099</v>
      </c>
      <c r="F158" s="3">
        <f>($D$114-D158)/$D$114</f>
        <v>0.14977759710241648</v>
      </c>
      <c r="G158" s="5">
        <v>86.84853196144104</v>
      </c>
      <c r="H158" s="3">
        <v>0.27262421148474142</v>
      </c>
      <c r="I158">
        <v>1</v>
      </c>
      <c r="J158" s="5">
        <v>0.25632209192684818</v>
      </c>
      <c r="K158" s="5">
        <v>54.870907795661211</v>
      </c>
      <c r="M158">
        <f>AVERAGE(I156:I166)</f>
        <v>0.99999939096043788</v>
      </c>
      <c r="N158" s="9" t="s">
        <v>14</v>
      </c>
    </row>
    <row r="159" spans="1:14" x14ac:dyDescent="0.35">
      <c r="A159" t="s">
        <v>12</v>
      </c>
      <c r="B159">
        <v>128</v>
      </c>
      <c r="C159">
        <v>8</v>
      </c>
      <c r="D159" s="7">
        <v>1768.2591679583959</v>
      </c>
      <c r="E159" s="8">
        <v>1768.2591679583959</v>
      </c>
      <c r="F159" s="3">
        <f>($D$115-D159)/$D$115</f>
        <v>0.14790056993244313</v>
      </c>
      <c r="G159" s="5">
        <v>95.783636331558228</v>
      </c>
      <c r="H159" s="3">
        <v>0.24126705250100561</v>
      </c>
      <c r="I159">
        <v>0.99999999999999989</v>
      </c>
      <c r="J159" s="5">
        <v>0.29315069970517371</v>
      </c>
      <c r="K159" s="5">
        <v>56.566561068798762</v>
      </c>
      <c r="M159" s="5">
        <f>AVERAGE(J156:J166)</f>
        <v>0.30043765868783645</v>
      </c>
      <c r="N159" s="9" t="s">
        <v>15</v>
      </c>
    </row>
    <row r="160" spans="1:14" x14ac:dyDescent="0.35">
      <c r="A160" t="s">
        <v>12</v>
      </c>
      <c r="B160">
        <v>128</v>
      </c>
      <c r="C160">
        <v>9</v>
      </c>
      <c r="D160" s="7">
        <v>1587.939899561203</v>
      </c>
      <c r="E160" s="8">
        <v>1587.939899561203</v>
      </c>
      <c r="F160" s="3">
        <f>($D$116-D160)/$D$116</f>
        <v>0.24078296766014723</v>
      </c>
      <c r="G160" s="5">
        <v>98.954310417175293</v>
      </c>
      <c r="H160" s="3">
        <v>0.20261549747746929</v>
      </c>
      <c r="I160">
        <v>0.99999977550888319</v>
      </c>
      <c r="J160" s="5">
        <v>0.31666739505782199</v>
      </c>
      <c r="K160" s="5">
        <v>55.574554712537193</v>
      </c>
      <c r="M160" s="5">
        <f>AVERAGE(K156:K166)</f>
        <v>56.01162009089289</v>
      </c>
      <c r="N160" s="9" t="s">
        <v>16</v>
      </c>
    </row>
    <row r="161" spans="1:14" x14ac:dyDescent="0.35">
      <c r="A161" t="s">
        <v>12</v>
      </c>
      <c r="B161">
        <v>128</v>
      </c>
      <c r="C161">
        <v>10</v>
      </c>
      <c r="D161" s="7">
        <v>1744.928423338886</v>
      </c>
      <c r="E161" s="8">
        <v>1744.928423338886</v>
      </c>
      <c r="F161" s="3">
        <f>($D$117-D161)/$D$117</f>
        <v>0.16750260808728104</v>
      </c>
      <c r="G161" s="5">
        <v>364.19541168212891</v>
      </c>
      <c r="H161" s="3">
        <v>0.28627832135350789</v>
      </c>
      <c r="I161">
        <v>0.99999474313505854</v>
      </c>
      <c r="J161" s="5">
        <v>0.30100825234649631</v>
      </c>
      <c r="K161" s="5">
        <v>56.515746158377468</v>
      </c>
      <c r="M161" s="5">
        <f>AVERAGE(G156:G166)</f>
        <v>158.70397885640463</v>
      </c>
      <c r="N161" s="10" t="s">
        <v>6</v>
      </c>
    </row>
    <row r="162" spans="1:14" x14ac:dyDescent="0.35">
      <c r="A162" t="s">
        <v>12</v>
      </c>
      <c r="B162">
        <v>128</v>
      </c>
      <c r="C162">
        <v>11</v>
      </c>
      <c r="D162" s="7">
        <v>1594.7896308924071</v>
      </c>
      <c r="E162" s="8">
        <v>1594.7896308924071</v>
      </c>
      <c r="F162" s="3">
        <f>($D$118-D162)/$D$118</f>
        <v>0.235365253102467</v>
      </c>
      <c r="G162" s="5">
        <v>108.5029873847961</v>
      </c>
      <c r="H162" s="3">
        <v>0.16187847445699749</v>
      </c>
      <c r="I162">
        <v>1</v>
      </c>
      <c r="J162" s="5">
        <v>0.29831410355159338</v>
      </c>
      <c r="K162" s="5">
        <v>56.018125700998418</v>
      </c>
    </row>
    <row r="163" spans="1:14" x14ac:dyDescent="0.35">
      <c r="A163" t="s">
        <v>12</v>
      </c>
      <c r="B163">
        <v>128</v>
      </c>
      <c r="C163">
        <v>12</v>
      </c>
      <c r="D163" s="7">
        <v>1703.2812043917311</v>
      </c>
      <c r="E163" s="8">
        <v>1703.2812043917311</v>
      </c>
      <c r="F163" s="3">
        <f>($D$119-D163)/$D$119</f>
        <v>0.20464290410248634</v>
      </c>
      <c r="G163" s="5">
        <v>355.35045742988592</v>
      </c>
      <c r="H163" s="3">
        <v>0.32570166057509831</v>
      </c>
      <c r="I163">
        <v>0.99999999999999989</v>
      </c>
      <c r="J163" s="5">
        <v>0.33053396029924592</v>
      </c>
      <c r="K163" s="5">
        <v>56.269140843740502</v>
      </c>
    </row>
    <row r="164" spans="1:14" x14ac:dyDescent="0.35">
      <c r="A164" t="s">
        <v>12</v>
      </c>
      <c r="B164">
        <v>128</v>
      </c>
      <c r="C164">
        <v>13</v>
      </c>
      <c r="F164" s="3">
        <f>($D$120-D164)/$D$120</f>
        <v>1</v>
      </c>
    </row>
    <row r="165" spans="1:14" x14ac:dyDescent="0.35">
      <c r="A165" t="s">
        <v>12</v>
      </c>
      <c r="B165">
        <v>128</v>
      </c>
      <c r="C165">
        <v>14</v>
      </c>
      <c r="D165" s="7">
        <v>1735.8112400109251</v>
      </c>
      <c r="E165" s="8">
        <v>1735.8112400109251</v>
      </c>
      <c r="F165" s="3">
        <f>($D$121-D165)/$D$121</f>
        <v>0.14771613351315072</v>
      </c>
      <c r="G165" s="5">
        <v>113.2835350036621</v>
      </c>
      <c r="H165" s="3">
        <v>0.32939986125793019</v>
      </c>
      <c r="I165">
        <v>1</v>
      </c>
      <c r="J165" s="5">
        <v>0.30685464781798399</v>
      </c>
      <c r="K165" s="5">
        <v>56.068416292168813</v>
      </c>
    </row>
    <row r="166" spans="1:14" x14ac:dyDescent="0.35">
      <c r="A166" t="s">
        <v>12</v>
      </c>
      <c r="B166">
        <v>128</v>
      </c>
      <c r="C166">
        <v>15</v>
      </c>
      <c r="D166" s="7">
        <v>1643.6700423229929</v>
      </c>
      <c r="E166" s="8">
        <v>1643.6700423229929</v>
      </c>
      <c r="F166" s="3">
        <f>($D$122-D166)/$D$122</f>
        <v>0.29027295399684072</v>
      </c>
      <c r="G166" s="5">
        <v>118.190582036972</v>
      </c>
      <c r="H166" s="3">
        <v>0.18671902823571471</v>
      </c>
      <c r="I166">
        <v>1</v>
      </c>
      <c r="J166" s="5">
        <v>0.26417854035553229</v>
      </c>
      <c r="K166" s="5">
        <v>56.270549184654747</v>
      </c>
    </row>
    <row r="167" spans="1:14" s="11" customFormat="1" x14ac:dyDescent="0.35">
      <c r="A167" s="11" t="s">
        <v>11</v>
      </c>
      <c r="B167" s="11">
        <v>160</v>
      </c>
      <c r="C167" s="11">
        <v>5</v>
      </c>
      <c r="D167" s="12">
        <v>2121.5039198476638</v>
      </c>
      <c r="E167" s="13">
        <v>2121.5039198476638</v>
      </c>
      <c r="F167" s="11">
        <v>0</v>
      </c>
      <c r="G167" s="15">
        <v>2.7869999408721919</v>
      </c>
      <c r="H167" s="14">
        <v>0.2540262859540332</v>
      </c>
      <c r="I167" s="11">
        <v>1</v>
      </c>
      <c r="J167" s="15">
        <v>0.27520421286046692</v>
      </c>
      <c r="K167" s="15">
        <v>56.427791988057969</v>
      </c>
    </row>
    <row r="168" spans="1:14" x14ac:dyDescent="0.35">
      <c r="A168" t="s">
        <v>11</v>
      </c>
      <c r="B168">
        <v>160</v>
      </c>
      <c r="C168">
        <v>6</v>
      </c>
      <c r="D168" s="7">
        <v>2133.4608668248161</v>
      </c>
      <c r="E168" s="8">
        <v>2133.4608668248161</v>
      </c>
      <c r="F168">
        <v>0</v>
      </c>
      <c r="G168" s="5">
        <v>3.1309998035430908</v>
      </c>
      <c r="H168" s="3">
        <v>0.28702415906771422</v>
      </c>
      <c r="I168">
        <v>1</v>
      </c>
      <c r="J168" s="5">
        <v>0.26652296094399741</v>
      </c>
      <c r="K168" s="5">
        <v>56.549412813722313</v>
      </c>
    </row>
    <row r="169" spans="1:14" x14ac:dyDescent="0.35">
      <c r="A169" t="s">
        <v>11</v>
      </c>
      <c r="B169">
        <v>160</v>
      </c>
      <c r="C169">
        <v>7</v>
      </c>
      <c r="D169" s="7">
        <v>2165.2495629581008</v>
      </c>
      <c r="E169" s="8">
        <v>2165.2495629581008</v>
      </c>
      <c r="F169">
        <v>0</v>
      </c>
      <c r="G169" s="5">
        <v>3.3220000267028809</v>
      </c>
      <c r="H169" s="3">
        <v>0.40000217913432878</v>
      </c>
      <c r="I169">
        <v>1</v>
      </c>
      <c r="J169" s="5">
        <v>0.28261819874548089</v>
      </c>
      <c r="K169" s="5">
        <v>56.396869441895547</v>
      </c>
    </row>
    <row r="170" spans="1:14" x14ac:dyDescent="0.35">
      <c r="A170" t="s">
        <v>11</v>
      </c>
      <c r="B170">
        <v>160</v>
      </c>
      <c r="C170">
        <v>8</v>
      </c>
      <c r="D170" s="7">
        <v>2088.2115417357031</v>
      </c>
      <c r="E170" s="8">
        <v>2088.2115417357031</v>
      </c>
      <c r="F170">
        <v>0</v>
      </c>
      <c r="G170" s="5">
        <v>2.9600000381469731</v>
      </c>
      <c r="H170" s="3">
        <v>0.2494962645701235</v>
      </c>
      <c r="I170">
        <v>1</v>
      </c>
      <c r="J170" s="5">
        <v>0.26944281934525932</v>
      </c>
      <c r="K170" s="5">
        <v>56.443479134350611</v>
      </c>
    </row>
    <row r="171" spans="1:14" x14ac:dyDescent="0.35">
      <c r="A171" t="s">
        <v>11</v>
      </c>
      <c r="B171">
        <v>160</v>
      </c>
      <c r="C171">
        <v>9</v>
      </c>
      <c r="D171" s="7">
        <v>2113.1895944043581</v>
      </c>
      <c r="E171" s="8">
        <v>2113.1895944043581</v>
      </c>
      <c r="F171">
        <v>0</v>
      </c>
      <c r="G171" s="5">
        <v>2.782999992370605</v>
      </c>
      <c r="H171" s="3">
        <v>0.25408709562256743</v>
      </c>
      <c r="I171">
        <v>0.99999999999999978</v>
      </c>
      <c r="J171" s="5">
        <v>0.25651399986109941</v>
      </c>
      <c r="K171" s="5">
        <v>56.348772375865032</v>
      </c>
    </row>
    <row r="172" spans="1:14" x14ac:dyDescent="0.35">
      <c r="A172" t="s">
        <v>11</v>
      </c>
      <c r="B172">
        <v>160</v>
      </c>
      <c r="C172">
        <v>10</v>
      </c>
      <c r="D172" s="7">
        <v>2082.6913767107708</v>
      </c>
      <c r="E172" s="8">
        <v>2082.6913767107708</v>
      </c>
      <c r="F172">
        <v>0</v>
      </c>
      <c r="G172" s="5">
        <v>3.5429999828338619</v>
      </c>
      <c r="H172" s="3">
        <v>0.42312148277933492</v>
      </c>
      <c r="I172">
        <v>1</v>
      </c>
      <c r="J172" s="5">
        <v>0.26868991723671792</v>
      </c>
      <c r="K172" s="5">
        <v>56.536782799308767</v>
      </c>
    </row>
    <row r="173" spans="1:14" x14ac:dyDescent="0.35">
      <c r="A173" t="s">
        <v>11</v>
      </c>
      <c r="B173">
        <v>160</v>
      </c>
      <c r="C173">
        <v>11</v>
      </c>
      <c r="D173" s="7">
        <v>2082.639894885534</v>
      </c>
      <c r="E173" s="8">
        <v>2082.639894885534</v>
      </c>
      <c r="F173">
        <v>0</v>
      </c>
      <c r="G173" s="5">
        <v>3.2590000629425049</v>
      </c>
      <c r="H173" s="3">
        <v>0.24160787223444971</v>
      </c>
      <c r="I173">
        <v>1</v>
      </c>
      <c r="J173" s="5">
        <v>0.27288709647294579</v>
      </c>
      <c r="K173" s="5">
        <v>56.453156781709367</v>
      </c>
    </row>
    <row r="174" spans="1:14" x14ac:dyDescent="0.35">
      <c r="A174" t="s">
        <v>11</v>
      </c>
      <c r="B174">
        <v>160</v>
      </c>
      <c r="C174">
        <v>12</v>
      </c>
      <c r="D174" s="7">
        <v>2151.3871819352221</v>
      </c>
      <c r="E174" s="8">
        <v>2151.3871819352221</v>
      </c>
      <c r="F174">
        <v>0</v>
      </c>
      <c r="G174" s="5">
        <v>2.9779999256134029</v>
      </c>
      <c r="H174" s="3">
        <v>0.26495097163015119</v>
      </c>
      <c r="I174">
        <v>1</v>
      </c>
      <c r="J174" s="5">
        <v>0.21175406695053781</v>
      </c>
      <c r="K174" s="5">
        <v>56.359909294993628</v>
      </c>
    </row>
    <row r="175" spans="1:14" x14ac:dyDescent="0.35">
      <c r="A175" t="s">
        <v>11</v>
      </c>
      <c r="B175">
        <v>160</v>
      </c>
      <c r="C175">
        <v>13</v>
      </c>
      <c r="D175" s="7">
        <v>2111.2796959643438</v>
      </c>
      <c r="E175" s="8">
        <v>2111.2796959643438</v>
      </c>
      <c r="F175">
        <v>0</v>
      </c>
      <c r="G175" s="5">
        <v>2.8559999465942378</v>
      </c>
      <c r="H175" s="3">
        <v>0.26211415053859938</v>
      </c>
      <c r="I175">
        <v>1</v>
      </c>
      <c r="J175" s="5">
        <v>0.27354280473499809</v>
      </c>
      <c r="K175" s="5">
        <v>56.287125545414703</v>
      </c>
    </row>
    <row r="176" spans="1:14" x14ac:dyDescent="0.35">
      <c r="A176" t="s">
        <v>11</v>
      </c>
      <c r="B176">
        <v>160</v>
      </c>
      <c r="C176">
        <v>14</v>
      </c>
      <c r="D176" s="7">
        <v>2087.902381125989</v>
      </c>
      <c r="E176" s="8">
        <v>2087.902381125989</v>
      </c>
      <c r="F176">
        <v>0</v>
      </c>
      <c r="G176" s="5">
        <v>3.003000020980835</v>
      </c>
      <c r="H176" s="3">
        <v>0.27612483381358133</v>
      </c>
      <c r="I176">
        <v>1</v>
      </c>
      <c r="J176" s="5">
        <v>0.2466099201864326</v>
      </c>
      <c r="K176" s="5">
        <v>56.489997036413897</v>
      </c>
    </row>
    <row r="177" spans="1:14" x14ac:dyDescent="0.35">
      <c r="A177" t="s">
        <v>11</v>
      </c>
      <c r="B177">
        <v>160</v>
      </c>
      <c r="C177">
        <v>15</v>
      </c>
      <c r="D177" s="7">
        <v>2344.7467813388189</v>
      </c>
      <c r="E177" s="8">
        <v>2344.7467813388189</v>
      </c>
      <c r="F177">
        <v>0</v>
      </c>
      <c r="G177" s="5">
        <v>3.095999956130981</v>
      </c>
      <c r="H177" s="3">
        <v>0.36464877848462862</v>
      </c>
      <c r="I177">
        <v>1</v>
      </c>
      <c r="J177" s="5">
        <v>0.230110225652359</v>
      </c>
      <c r="K177" s="5">
        <v>56.124344838702299</v>
      </c>
    </row>
    <row r="178" spans="1:14" s="11" customFormat="1" x14ac:dyDescent="0.35">
      <c r="D178" s="12"/>
      <c r="E178" s="13"/>
      <c r="F178" s="14">
        <f>($D$167-D178)/$D$167</f>
        <v>1</v>
      </c>
      <c r="G178" s="15"/>
      <c r="H178" s="14"/>
      <c r="J178" s="15"/>
      <c r="K178" s="15"/>
      <c r="M178" s="14">
        <f>AVERAGE(F178:F188)</f>
        <v>0.14611931716152185</v>
      </c>
      <c r="N178" s="16" t="s">
        <v>5</v>
      </c>
    </row>
    <row r="179" spans="1:14" x14ac:dyDescent="0.35">
      <c r="A179" t="s">
        <v>12</v>
      </c>
      <c r="B179">
        <v>160</v>
      </c>
      <c r="C179">
        <v>6</v>
      </c>
      <c r="D179" s="7">
        <v>1974.86733892591</v>
      </c>
      <c r="E179" s="8">
        <v>1974.86733892591</v>
      </c>
      <c r="F179" s="3">
        <f>($D$168-D179)/$D$168</f>
        <v>7.433627228182417E-2</v>
      </c>
      <c r="G179" s="5">
        <v>100.85456299781799</v>
      </c>
      <c r="H179" s="3">
        <v>0.65131283443500176</v>
      </c>
      <c r="I179">
        <v>1</v>
      </c>
      <c r="J179" s="5">
        <v>0.35607370100584718</v>
      </c>
      <c r="K179" s="5">
        <v>56.192941846815792</v>
      </c>
      <c r="M179" s="3">
        <f>AVERAGE(H178:H188)</f>
        <v>0.64785045479632741</v>
      </c>
      <c r="N179" s="9" t="s">
        <v>13</v>
      </c>
    </row>
    <row r="180" spans="1:14" x14ac:dyDescent="0.35">
      <c r="A180" t="s">
        <v>12</v>
      </c>
      <c r="B180">
        <v>160</v>
      </c>
      <c r="C180">
        <v>7</v>
      </c>
      <c r="D180" s="7">
        <v>2158.7029038859869</v>
      </c>
      <c r="E180" s="8">
        <v>2158.7029038859869</v>
      </c>
      <c r="F180" s="3">
        <f>($D$169-D180)/$D$169</f>
        <v>3.0235124782429564E-3</v>
      </c>
      <c r="G180" s="5">
        <v>93.301494836807251</v>
      </c>
      <c r="H180" s="3">
        <v>0.70187398910384924</v>
      </c>
      <c r="I180">
        <v>1</v>
      </c>
      <c r="J180" s="5">
        <v>0.28986397084858267</v>
      </c>
      <c r="K180" s="5">
        <v>56.298494784714393</v>
      </c>
      <c r="M180">
        <f>AVERAGE(I178:I188)</f>
        <v>1</v>
      </c>
      <c r="N180" s="9" t="s">
        <v>14</v>
      </c>
    </row>
    <row r="181" spans="1:14" x14ac:dyDescent="0.35">
      <c r="A181" t="s">
        <v>12</v>
      </c>
      <c r="B181">
        <v>160</v>
      </c>
      <c r="C181">
        <v>8</v>
      </c>
      <c r="D181" s="7">
        <v>2000.5001040189129</v>
      </c>
      <c r="E181" s="8">
        <v>2000.5001040189129</v>
      </c>
      <c r="F181" s="3">
        <f>($D$170-D181)/$D$170</f>
        <v>4.2003138074739897E-2</v>
      </c>
      <c r="G181" s="5">
        <v>86.04874849319458</v>
      </c>
      <c r="H181" s="3">
        <v>0.6188751627282093</v>
      </c>
      <c r="I181">
        <v>1</v>
      </c>
      <c r="J181" s="5">
        <v>0.32698948806900802</v>
      </c>
      <c r="K181" s="5">
        <v>56.238694976747531</v>
      </c>
      <c r="M181" s="5">
        <f>AVERAGE(J178:J188)</f>
        <v>0.31484134519058743</v>
      </c>
      <c r="N181" s="9" t="s">
        <v>15</v>
      </c>
    </row>
    <row r="182" spans="1:14" x14ac:dyDescent="0.35">
      <c r="A182" t="s">
        <v>12</v>
      </c>
      <c r="B182">
        <v>160</v>
      </c>
      <c r="C182">
        <v>9</v>
      </c>
      <c r="D182" s="7">
        <v>1900.874501807366</v>
      </c>
      <c r="E182" s="8">
        <v>1900.874501807366</v>
      </c>
      <c r="F182" s="3">
        <f>($D$171-D182)/$D$171</f>
        <v>0.10047138844483905</v>
      </c>
      <c r="G182" s="5">
        <v>80.513111591339111</v>
      </c>
      <c r="H182" s="3">
        <v>0.58338298866732929</v>
      </c>
      <c r="I182">
        <v>1</v>
      </c>
      <c r="J182" s="5">
        <v>0.31963448973696351</v>
      </c>
      <c r="K182" s="5">
        <v>56.034457822009919</v>
      </c>
      <c r="M182" s="5">
        <f>AVERAGE(K178:K188)</f>
        <v>56.253599929564317</v>
      </c>
      <c r="N182" s="9" t="s">
        <v>16</v>
      </c>
    </row>
    <row r="183" spans="1:14" x14ac:dyDescent="0.35">
      <c r="A183" t="s">
        <v>12</v>
      </c>
      <c r="B183">
        <v>160</v>
      </c>
      <c r="C183">
        <v>10</v>
      </c>
      <c r="D183" s="7">
        <v>1987.620785970503</v>
      </c>
      <c r="E183" s="8">
        <v>1987.620785970503</v>
      </c>
      <c r="F183" s="3">
        <f>($D$172-D183)/$D$172</f>
        <v>4.5647949476995651E-2</v>
      </c>
      <c r="G183" s="5">
        <v>82.010568380355835</v>
      </c>
      <c r="H183" s="3">
        <v>0.62897974579990812</v>
      </c>
      <c r="I183">
        <v>1</v>
      </c>
      <c r="J183" s="5">
        <v>0.30487651736111981</v>
      </c>
      <c r="K183" s="5">
        <v>56.285843352394409</v>
      </c>
      <c r="M183" s="5">
        <f>AVERAGE(G178:G188)</f>
        <v>89.629504823684698</v>
      </c>
      <c r="N183" s="10" t="s">
        <v>6</v>
      </c>
    </row>
    <row r="184" spans="1:14" x14ac:dyDescent="0.35">
      <c r="A184" t="s">
        <v>12</v>
      </c>
      <c r="B184">
        <v>160</v>
      </c>
      <c r="C184">
        <v>11</v>
      </c>
      <c r="D184" s="7">
        <v>2071.298756685756</v>
      </c>
      <c r="E184" s="8">
        <v>2071.298756685756</v>
      </c>
      <c r="F184" s="3">
        <f>($D$173-D184)/$D$173</f>
        <v>5.4455588926482883E-3</v>
      </c>
      <c r="G184" s="5">
        <v>83.66549277305603</v>
      </c>
      <c r="H184" s="3">
        <v>0.66968436548022314</v>
      </c>
      <c r="I184">
        <v>1</v>
      </c>
      <c r="J184" s="5">
        <v>0.31236023437729438</v>
      </c>
      <c r="K184" s="5">
        <v>56.251016522533178</v>
      </c>
    </row>
    <row r="185" spans="1:14" x14ac:dyDescent="0.35">
      <c r="A185" t="s">
        <v>12</v>
      </c>
      <c r="B185">
        <v>160</v>
      </c>
      <c r="C185">
        <v>12</v>
      </c>
      <c r="D185" s="7">
        <v>1964.270957153178</v>
      </c>
      <c r="E185" s="8">
        <v>1964.270957153178</v>
      </c>
      <c r="F185" s="3">
        <f>($D$174-D185)/$D$174</f>
        <v>8.6974686078462551E-2</v>
      </c>
      <c r="G185" s="5">
        <v>93.31974720954895</v>
      </c>
      <c r="H185" s="3">
        <v>0.65025824010579902</v>
      </c>
      <c r="I185">
        <v>0.99999999999999978</v>
      </c>
      <c r="J185" s="5">
        <v>0.35452979398185253</v>
      </c>
      <c r="K185" s="5">
        <v>56.209439523622713</v>
      </c>
    </row>
    <row r="186" spans="1:14" x14ac:dyDescent="0.35">
      <c r="A186" t="s">
        <v>12</v>
      </c>
      <c r="B186">
        <v>160</v>
      </c>
      <c r="C186">
        <v>13</v>
      </c>
      <c r="D186" s="7">
        <v>2048.5654476595118</v>
      </c>
      <c r="E186" s="8">
        <v>2048.5654476595118</v>
      </c>
      <c r="F186" s="3">
        <f>($D$175-D186)/$D$175</f>
        <v>2.9704377124787674E-2</v>
      </c>
      <c r="G186" s="5">
        <v>100.29795742034911</v>
      </c>
      <c r="H186" s="3">
        <v>0.68613073083181075</v>
      </c>
      <c r="I186">
        <v>1</v>
      </c>
      <c r="J186" s="5">
        <v>0.27687250725380269</v>
      </c>
      <c r="K186" s="5">
        <v>56.281661466858658</v>
      </c>
    </row>
    <row r="187" spans="1:14" x14ac:dyDescent="0.35">
      <c r="A187" t="s">
        <v>12</v>
      </c>
      <c r="B187">
        <v>160</v>
      </c>
      <c r="C187">
        <v>14</v>
      </c>
      <c r="D187" s="7">
        <v>1924.3506903416719</v>
      </c>
      <c r="E187" s="8">
        <v>1924.3506903416719</v>
      </c>
      <c r="F187" s="3">
        <f>($D$176-D187)/$D$176</f>
        <v>7.833301607526065E-2</v>
      </c>
      <c r="G187" s="5">
        <v>99.930967807769775</v>
      </c>
      <c r="H187" s="3">
        <v>0.59476830294584615</v>
      </c>
      <c r="I187">
        <v>1</v>
      </c>
      <c r="J187" s="5">
        <v>0.32221705856435118</v>
      </c>
      <c r="K187" s="5">
        <v>56.355722675247208</v>
      </c>
    </row>
    <row r="188" spans="1:14" x14ac:dyDescent="0.35">
      <c r="A188" t="s">
        <v>12</v>
      </c>
      <c r="B188">
        <v>160</v>
      </c>
      <c r="C188">
        <v>15</v>
      </c>
      <c r="D188" s="7">
        <v>2013.263856320985</v>
      </c>
      <c r="E188" s="8">
        <v>2013.263856320985</v>
      </c>
      <c r="F188" s="3">
        <f>($D$177-D188)/$D$177</f>
        <v>0.14137258984893949</v>
      </c>
      <c r="G188" s="5">
        <v>76.352396726608276</v>
      </c>
      <c r="H188" s="3">
        <v>0.69323818786529723</v>
      </c>
      <c r="I188">
        <v>1</v>
      </c>
      <c r="J188" s="5">
        <v>0.28499569070705211</v>
      </c>
      <c r="K188" s="5">
        <v>56.387726324699337</v>
      </c>
    </row>
    <row r="189" spans="1:14" s="11" customFormat="1" x14ac:dyDescent="0.35">
      <c r="A189" s="11" t="s">
        <v>12</v>
      </c>
      <c r="B189" s="11">
        <v>160</v>
      </c>
      <c r="C189" s="11">
        <v>5</v>
      </c>
      <c r="D189" s="12">
        <v>2113.5514205786071</v>
      </c>
      <c r="E189" s="13">
        <v>2113.5514205786071</v>
      </c>
      <c r="F189" s="14">
        <f>($D$167-D189)/$D$167</f>
        <v>3.7485197150273243E-3</v>
      </c>
      <c r="G189" s="15">
        <v>116.305614233017</v>
      </c>
      <c r="H189" s="14">
        <v>0.61490050089593085</v>
      </c>
      <c r="I189" s="11">
        <v>0.99999999999999978</v>
      </c>
      <c r="J189" s="15">
        <v>0.24425031300047401</v>
      </c>
      <c r="K189" s="15">
        <v>56.45262232201047</v>
      </c>
      <c r="M189" s="14">
        <f>AVERAGE(F189:F199)</f>
        <v>8.7564105092989938E-2</v>
      </c>
      <c r="N189" s="16" t="s">
        <v>5</v>
      </c>
    </row>
    <row r="190" spans="1:14" x14ac:dyDescent="0.35">
      <c r="A190" t="s">
        <v>12</v>
      </c>
      <c r="B190">
        <v>160</v>
      </c>
      <c r="C190">
        <v>6</v>
      </c>
      <c r="D190" s="7">
        <v>1948.8781124590839</v>
      </c>
      <c r="E190" s="8">
        <v>1948.8781124590839</v>
      </c>
      <c r="F190" s="3">
        <f>($D$168-D190)/$D$168</f>
        <v>8.6517993948697414E-2</v>
      </c>
      <c r="G190" s="5">
        <v>101.71210956573491</v>
      </c>
      <c r="H190" s="3">
        <v>0.63912563146569856</v>
      </c>
      <c r="I190">
        <v>1</v>
      </c>
      <c r="J190" s="5">
        <v>0.35284193885432907</v>
      </c>
      <c r="K190" s="5">
        <v>56.320238692521151</v>
      </c>
      <c r="M190" s="3">
        <f>AVERAGE(H189:H199)</f>
        <v>0.46650316374842565</v>
      </c>
      <c r="N190" s="9" t="s">
        <v>13</v>
      </c>
    </row>
    <row r="191" spans="1:14" x14ac:dyDescent="0.35">
      <c r="A191" t="s">
        <v>12</v>
      </c>
      <c r="B191">
        <v>160</v>
      </c>
      <c r="C191">
        <v>7</v>
      </c>
      <c r="D191" s="7">
        <v>1976.607548204767</v>
      </c>
      <c r="E191" s="8">
        <v>1976.607548204767</v>
      </c>
      <c r="F191" s="3">
        <f>($D$169-D191)/$D$169</f>
        <v>8.7122527573965464E-2</v>
      </c>
      <c r="G191" s="5">
        <v>99.598044872283936</v>
      </c>
      <c r="H191" s="3">
        <v>0.38062877763242858</v>
      </c>
      <c r="I191">
        <v>1</v>
      </c>
      <c r="J191" s="5">
        <v>0.27771402808617113</v>
      </c>
      <c r="K191" s="5">
        <v>56.588249190264612</v>
      </c>
      <c r="M191">
        <f>AVERAGE(I189:I199)</f>
        <v>1</v>
      </c>
      <c r="N191" s="9" t="s">
        <v>14</v>
      </c>
    </row>
    <row r="192" spans="1:14" x14ac:dyDescent="0.35">
      <c r="A192" t="s">
        <v>12</v>
      </c>
      <c r="B192">
        <v>160</v>
      </c>
      <c r="C192">
        <v>8</v>
      </c>
      <c r="D192" s="7">
        <v>1942.4053703567449</v>
      </c>
      <c r="E192" s="8">
        <v>1942.4053703567449</v>
      </c>
      <c r="F192" s="3">
        <f>($D$170-D192)/$D$170</f>
        <v>6.9823467816754511E-2</v>
      </c>
      <c r="G192" s="5">
        <v>98.551004409790039</v>
      </c>
      <c r="H192" s="3">
        <v>0.32901828111441872</v>
      </c>
      <c r="I192">
        <v>1</v>
      </c>
      <c r="J192" s="5">
        <v>0.33724509049383822</v>
      </c>
      <c r="K192" s="5">
        <v>56.394998747402759</v>
      </c>
      <c r="M192" s="5">
        <f>AVERAGE(J189:J199)</f>
        <v>0.3064232646116738</v>
      </c>
      <c r="N192" s="9" t="s">
        <v>15</v>
      </c>
    </row>
    <row r="193" spans="1:14" x14ac:dyDescent="0.35">
      <c r="A193" t="s">
        <v>12</v>
      </c>
      <c r="B193">
        <v>160</v>
      </c>
      <c r="C193">
        <v>9</v>
      </c>
      <c r="D193" s="7">
        <v>1833.4567747111439</v>
      </c>
      <c r="E193" s="8">
        <v>1833.4567747111439</v>
      </c>
      <c r="F193" s="3">
        <f>($D$171-D193)/$D$171</f>
        <v>0.13237469105182781</v>
      </c>
      <c r="G193" s="5">
        <v>90.256789684295654</v>
      </c>
      <c r="H193" s="3">
        <v>0.47930812640495302</v>
      </c>
      <c r="I193">
        <v>1</v>
      </c>
      <c r="J193" s="5">
        <v>0.3190654683656598</v>
      </c>
      <c r="K193" s="5">
        <v>55.760452509877567</v>
      </c>
      <c r="M193" s="5">
        <f>AVERAGE(K189:K199)</f>
        <v>56.320707469970536</v>
      </c>
      <c r="N193" s="9" t="s">
        <v>16</v>
      </c>
    </row>
    <row r="194" spans="1:14" x14ac:dyDescent="0.35">
      <c r="A194" t="s">
        <v>12</v>
      </c>
      <c r="B194">
        <v>160</v>
      </c>
      <c r="C194">
        <v>10</v>
      </c>
      <c r="D194" s="7">
        <v>1922.5018238617961</v>
      </c>
      <c r="E194" s="8">
        <v>1922.5018238617961</v>
      </c>
      <c r="F194" s="3">
        <f>($D$172-D194)/$D$172</f>
        <v>7.6914685795628893E-2</v>
      </c>
      <c r="G194" s="5">
        <v>94.857833623886108</v>
      </c>
      <c r="H194" s="3">
        <v>0.42552572579850872</v>
      </c>
      <c r="I194">
        <v>1</v>
      </c>
      <c r="J194" s="5">
        <v>0.30797229382582603</v>
      </c>
      <c r="K194" s="5">
        <v>56.175514529772087</v>
      </c>
      <c r="M194" s="5">
        <f>AVERAGE(G189:G199)</f>
        <v>98.927353772250086</v>
      </c>
      <c r="N194" s="10" t="s">
        <v>6</v>
      </c>
    </row>
    <row r="195" spans="1:14" x14ac:dyDescent="0.35">
      <c r="A195" t="s">
        <v>12</v>
      </c>
      <c r="B195">
        <v>160</v>
      </c>
      <c r="C195">
        <v>11</v>
      </c>
      <c r="D195" s="7">
        <v>2010.4071734982169</v>
      </c>
      <c r="E195" s="8">
        <v>2010.4071734982169</v>
      </c>
      <c r="F195" s="3">
        <f>($D$173-D195)/$D$173</f>
        <v>3.4683250601653864E-2</v>
      </c>
      <c r="G195" s="5">
        <v>95.390642166137695</v>
      </c>
      <c r="H195" s="3">
        <v>0.53334029794324367</v>
      </c>
      <c r="I195">
        <v>1</v>
      </c>
      <c r="J195" s="5">
        <v>0.31292133827695301</v>
      </c>
      <c r="K195" s="5">
        <v>56.404267798351647</v>
      </c>
    </row>
    <row r="196" spans="1:14" x14ac:dyDescent="0.35">
      <c r="A196" t="s">
        <v>12</v>
      </c>
      <c r="B196">
        <v>160</v>
      </c>
      <c r="C196">
        <v>12</v>
      </c>
      <c r="D196" s="7">
        <v>1924.4507190124809</v>
      </c>
      <c r="E196" s="8">
        <v>1924.4507190124809</v>
      </c>
      <c r="F196" s="3">
        <f>($D$174-D196)/$D$174</f>
        <v>0.10548378498685979</v>
      </c>
      <c r="G196" s="5">
        <v>96.653282403945923</v>
      </c>
      <c r="H196" s="3">
        <v>0.47651123761133268</v>
      </c>
      <c r="I196">
        <v>0.99999999999999989</v>
      </c>
      <c r="J196" s="5">
        <v>0.34059196454193219</v>
      </c>
      <c r="K196" s="5">
        <v>56.349052262035642</v>
      </c>
    </row>
    <row r="197" spans="1:14" x14ac:dyDescent="0.35">
      <c r="A197" t="s">
        <v>12</v>
      </c>
      <c r="B197">
        <v>160</v>
      </c>
      <c r="C197">
        <v>13</v>
      </c>
      <c r="D197" s="7">
        <v>1968.0382862619931</v>
      </c>
      <c r="E197" s="8">
        <v>1968.0382862619931</v>
      </c>
      <c r="F197" s="3">
        <f>($D$175-D197)/$D$175</f>
        <v>6.784577617837792E-2</v>
      </c>
      <c r="G197" s="5">
        <v>95.022089004516602</v>
      </c>
      <c r="H197" s="3">
        <v>0.46080001756765548</v>
      </c>
      <c r="I197">
        <v>1</v>
      </c>
      <c r="J197" s="5">
        <v>0.27401599087502548</v>
      </c>
      <c r="K197" s="5">
        <v>56.406275062109977</v>
      </c>
    </row>
    <row r="198" spans="1:14" x14ac:dyDescent="0.35">
      <c r="A198" t="s">
        <v>12</v>
      </c>
      <c r="B198">
        <v>160</v>
      </c>
      <c r="C198">
        <v>14</v>
      </c>
      <c r="D198" s="7">
        <v>1891.951107634407</v>
      </c>
      <c r="E198" s="8">
        <v>1891.951107634407</v>
      </c>
      <c r="F198" s="3">
        <f>($D$176-D198)/$D$176</f>
        <v>9.3850783093559709E-2</v>
      </c>
      <c r="G198" s="5">
        <v>103.43031978607181</v>
      </c>
      <c r="H198" s="3">
        <v>0.40899811549210119</v>
      </c>
      <c r="I198">
        <v>1</v>
      </c>
      <c r="J198" s="5">
        <v>0.3124318942783309</v>
      </c>
      <c r="K198" s="5">
        <v>56.316843115041678</v>
      </c>
    </row>
    <row r="199" spans="1:14" x14ac:dyDescent="0.35">
      <c r="A199" t="s">
        <v>12</v>
      </c>
      <c r="B199">
        <v>160</v>
      </c>
      <c r="C199">
        <v>15</v>
      </c>
      <c r="D199" s="7">
        <v>1864.4496120811871</v>
      </c>
      <c r="E199" s="8">
        <v>1864.4496120811871</v>
      </c>
      <c r="F199" s="3">
        <f>($D$177-D199)/$D$177</f>
        <v>0.20483967526053648</v>
      </c>
      <c r="G199" s="5">
        <v>96.423161745071411</v>
      </c>
      <c r="H199" s="3">
        <v>0.38337808930641137</v>
      </c>
      <c r="I199">
        <v>1</v>
      </c>
      <c r="J199" s="5">
        <v>0.29160559012987192</v>
      </c>
      <c r="K199" s="5">
        <v>56.359267940288298</v>
      </c>
    </row>
    <row r="200" spans="1:14" s="11" customFormat="1" x14ac:dyDescent="0.35">
      <c r="A200" s="11" t="s">
        <v>12</v>
      </c>
      <c r="B200" s="11">
        <v>160</v>
      </c>
      <c r="C200" s="11">
        <v>5</v>
      </c>
      <c r="D200" s="12"/>
      <c r="E200" s="13"/>
      <c r="F200" s="14">
        <f>($D$167-D200)/$D$167</f>
        <v>1</v>
      </c>
      <c r="G200" s="15"/>
      <c r="H200" s="14"/>
      <c r="J200" s="15"/>
      <c r="K200" s="15"/>
      <c r="M200" s="14">
        <f>AVERAGE(F200:F210)</f>
        <v>0.16817471185210295</v>
      </c>
      <c r="N200" s="16" t="s">
        <v>5</v>
      </c>
    </row>
    <row r="201" spans="1:14" x14ac:dyDescent="0.35">
      <c r="A201" t="s">
        <v>12</v>
      </c>
      <c r="B201">
        <v>160</v>
      </c>
      <c r="C201">
        <v>6</v>
      </c>
      <c r="D201" s="7">
        <v>1856.0103043354479</v>
      </c>
      <c r="E201" s="8">
        <v>1856.0103043354479</v>
      </c>
      <c r="F201" s="3">
        <f>($D$168-D201)/$D$168</f>
        <v>0.13004717677446406</v>
      </c>
      <c r="G201" s="5">
        <v>146.20933628082281</v>
      </c>
      <c r="H201" s="3">
        <v>0.49058794243062692</v>
      </c>
      <c r="I201">
        <v>1</v>
      </c>
      <c r="J201" s="5">
        <v>0.34886717853689653</v>
      </c>
      <c r="K201" s="5">
        <v>56.478798713065103</v>
      </c>
      <c r="M201" s="3">
        <f>AVERAGE(H200:H210)</f>
        <v>0.54875889562842561</v>
      </c>
      <c r="N201" s="9" t="s">
        <v>13</v>
      </c>
    </row>
    <row r="202" spans="1:14" x14ac:dyDescent="0.35">
      <c r="A202" t="s">
        <v>12</v>
      </c>
      <c r="B202">
        <v>160</v>
      </c>
      <c r="C202">
        <v>7</v>
      </c>
      <c r="D202" s="7">
        <v>2109.6609334787699</v>
      </c>
      <c r="E202" s="8">
        <v>2109.6609334787699</v>
      </c>
      <c r="F202" s="3">
        <f>($D$169-D202)/$D$169</f>
        <v>2.5673081953374133E-2</v>
      </c>
      <c r="G202" s="5">
        <v>105.91299605369569</v>
      </c>
      <c r="H202" s="3">
        <v>0.59376402703627529</v>
      </c>
      <c r="I202">
        <v>1</v>
      </c>
      <c r="J202" s="5">
        <v>0.28907828139865571</v>
      </c>
      <c r="K202" s="5">
        <v>56.442118035100009</v>
      </c>
      <c r="M202">
        <f>AVERAGE(I200:I210)</f>
        <v>1</v>
      </c>
      <c r="N202" s="9" t="s">
        <v>14</v>
      </c>
    </row>
    <row r="203" spans="1:14" x14ac:dyDescent="0.35">
      <c r="A203" t="s">
        <v>12</v>
      </c>
      <c r="B203">
        <v>160</v>
      </c>
      <c r="C203">
        <v>8</v>
      </c>
      <c r="D203" s="7">
        <v>1924.492267111686</v>
      </c>
      <c r="E203" s="8">
        <v>1924.492267111686</v>
      </c>
      <c r="F203" s="3">
        <f>($D$170-D203)/$D$170</f>
        <v>7.8401671167823858E-2</v>
      </c>
      <c r="G203" s="5">
        <v>105.1597111225128</v>
      </c>
      <c r="H203" s="3">
        <v>0.52771313856923807</v>
      </c>
      <c r="I203">
        <v>1</v>
      </c>
      <c r="J203" s="5">
        <v>0.300185482574234</v>
      </c>
      <c r="K203" s="5">
        <v>56.267142704541563</v>
      </c>
      <c r="M203" s="5">
        <f>AVERAGE(J200:J210)</f>
        <v>0.30699021483913619</v>
      </c>
      <c r="N203" s="9" t="s">
        <v>15</v>
      </c>
    </row>
    <row r="204" spans="1:14" x14ac:dyDescent="0.35">
      <c r="A204" t="s">
        <v>12</v>
      </c>
      <c r="B204">
        <v>160</v>
      </c>
      <c r="C204">
        <v>9</v>
      </c>
      <c r="D204" s="7">
        <v>1868.988915460721</v>
      </c>
      <c r="E204" s="8">
        <v>1868.988915460721</v>
      </c>
      <c r="F204" s="3">
        <f>($D$171-D204)/$D$171</f>
        <v>0.11556023159979148</v>
      </c>
      <c r="G204" s="5">
        <v>109.5077970027924</v>
      </c>
      <c r="H204" s="3">
        <v>0.47797287667850269</v>
      </c>
      <c r="I204">
        <v>0.99999999999999989</v>
      </c>
      <c r="J204" s="5">
        <v>0.31792028743113798</v>
      </c>
      <c r="K204" s="5">
        <v>56.03513714153727</v>
      </c>
      <c r="M204" s="5">
        <f>AVERAGE(K200:K210)</f>
        <v>56.273365218443395</v>
      </c>
      <c r="N204" s="9" t="s">
        <v>16</v>
      </c>
    </row>
    <row r="205" spans="1:14" x14ac:dyDescent="0.35">
      <c r="A205" t="s">
        <v>12</v>
      </c>
      <c r="B205">
        <v>160</v>
      </c>
      <c r="C205">
        <v>10</v>
      </c>
      <c r="D205" s="7">
        <v>1945.128319731341</v>
      </c>
      <c r="E205" s="8">
        <v>1945.128319731341</v>
      </c>
      <c r="F205" s="3">
        <f>($D$172-D205)/$D$172</f>
        <v>6.6050620133975599E-2</v>
      </c>
      <c r="G205" s="5">
        <v>96.872051477432251</v>
      </c>
      <c r="H205" s="3">
        <v>0.48239563608862362</v>
      </c>
      <c r="I205">
        <v>1</v>
      </c>
      <c r="J205" s="5">
        <v>0.29631761094906373</v>
      </c>
      <c r="K205" s="5">
        <v>56.299362264980807</v>
      </c>
      <c r="M205" s="5">
        <f>AVERAGE(G200:G210)</f>
        <v>107.04877424240112</v>
      </c>
      <c r="N205" s="10" t="s">
        <v>6</v>
      </c>
    </row>
    <row r="206" spans="1:14" x14ac:dyDescent="0.35">
      <c r="A206" t="s">
        <v>12</v>
      </c>
      <c r="B206">
        <v>160</v>
      </c>
      <c r="C206">
        <v>11</v>
      </c>
      <c r="D206" s="7">
        <v>2021.836884441452</v>
      </c>
      <c r="E206" s="8">
        <v>2021.836884441452</v>
      </c>
      <c r="F206" s="3">
        <f>($D$173-D206)/$D$173</f>
        <v>2.9195162636325024E-2</v>
      </c>
      <c r="G206" s="5">
        <v>100.6165404319763</v>
      </c>
      <c r="H206" s="3">
        <v>0.65064409271639834</v>
      </c>
      <c r="I206">
        <v>0.99999999999999978</v>
      </c>
      <c r="J206" s="5">
        <v>0.30516611069432931</v>
      </c>
      <c r="K206" s="5">
        <v>56.529290534537942</v>
      </c>
    </row>
    <row r="207" spans="1:14" x14ac:dyDescent="0.35">
      <c r="A207" t="s">
        <v>12</v>
      </c>
      <c r="B207">
        <v>160</v>
      </c>
      <c r="C207">
        <v>12</v>
      </c>
      <c r="D207" s="7">
        <v>1946.6684805369471</v>
      </c>
      <c r="E207" s="8">
        <v>1946.6684805369471</v>
      </c>
      <c r="F207" s="3">
        <f>($D$174-D207)/$D$174</f>
        <v>9.5156605522826371E-2</v>
      </c>
      <c r="G207" s="5">
        <v>95.713743448257446</v>
      </c>
      <c r="H207" s="3">
        <v>0.57991751481989162</v>
      </c>
      <c r="I207">
        <v>0.99999999999999978</v>
      </c>
      <c r="J207" s="5">
        <v>0.34125397574891281</v>
      </c>
      <c r="K207" s="5">
        <v>56.099550864566091</v>
      </c>
    </row>
    <row r="208" spans="1:14" x14ac:dyDescent="0.35">
      <c r="A208" t="s">
        <v>12</v>
      </c>
      <c r="B208">
        <v>160</v>
      </c>
      <c r="C208">
        <v>13</v>
      </c>
      <c r="D208" s="7">
        <v>2028.9993826807879</v>
      </c>
      <c r="E208" s="8">
        <v>2028.9993826807879</v>
      </c>
      <c r="F208" s="3">
        <f>($D$175-D208)/$D$175</f>
        <v>3.8971773110323821E-2</v>
      </c>
      <c r="G208" s="5">
        <v>107.6900222301483</v>
      </c>
      <c r="H208" s="3">
        <v>0.63926911300996914</v>
      </c>
      <c r="I208">
        <v>0.99999999999999978</v>
      </c>
      <c r="J208" s="5">
        <v>0.26736434529855579</v>
      </c>
      <c r="K208" s="5">
        <v>55.987861317383107</v>
      </c>
    </row>
    <row r="209" spans="1:14" x14ac:dyDescent="0.35">
      <c r="A209" t="s">
        <v>12</v>
      </c>
      <c r="B209">
        <v>160</v>
      </c>
      <c r="C209">
        <v>14</v>
      </c>
      <c r="D209" s="7">
        <v>1892.6390015806819</v>
      </c>
      <c r="E209" s="8">
        <v>1892.6390015806819</v>
      </c>
      <c r="F209" s="3">
        <f>($D$176-D209)/$D$176</f>
        <v>9.3521316566535603E-2</v>
      </c>
      <c r="G209" s="5">
        <v>106.50655603408811</v>
      </c>
      <c r="H209" s="3">
        <v>0.54743768973913387</v>
      </c>
      <c r="I209">
        <v>1</v>
      </c>
      <c r="J209" s="5">
        <v>0.31985314885169619</v>
      </c>
      <c r="K209" s="5">
        <v>56.26552589188617</v>
      </c>
    </row>
    <row r="210" spans="1:14" x14ac:dyDescent="0.35">
      <c r="A210" t="s">
        <v>12</v>
      </c>
      <c r="B210">
        <v>160</v>
      </c>
      <c r="C210">
        <v>15</v>
      </c>
      <c r="D210" s="7">
        <v>1928.91956051887</v>
      </c>
      <c r="E210" s="8">
        <v>1928.91956051887</v>
      </c>
      <c r="F210" s="3">
        <f>($D$177-D210)/$D$177</f>
        <v>0.17734419090769246</v>
      </c>
      <c r="G210" s="5">
        <v>96.298988342285156</v>
      </c>
      <c r="H210" s="3">
        <v>0.49788692519559707</v>
      </c>
      <c r="I210">
        <v>1</v>
      </c>
      <c r="J210" s="5">
        <v>0.28389572690788001</v>
      </c>
      <c r="K210" s="5">
        <v>56.328864716835859</v>
      </c>
    </row>
    <row r="211" spans="1:14" s="11" customFormat="1" x14ac:dyDescent="0.35">
      <c r="A211" s="11" t="s">
        <v>12</v>
      </c>
      <c r="B211" s="11">
        <v>160</v>
      </c>
      <c r="C211" s="11">
        <v>5</v>
      </c>
      <c r="D211" s="12">
        <v>1749.5817986103989</v>
      </c>
      <c r="E211" s="13">
        <v>1749.5817986103989</v>
      </c>
      <c r="F211" s="14">
        <f>($D$167-D211)/$D$167</f>
        <v>0.17531059818356173</v>
      </c>
      <c r="G211" s="15">
        <v>133.2775962352753</v>
      </c>
      <c r="H211" s="14">
        <v>0.2950116984031117</v>
      </c>
      <c r="I211" s="11">
        <v>1</v>
      </c>
      <c r="J211" s="15">
        <v>0.23884045277754209</v>
      </c>
      <c r="K211" s="15">
        <v>56.598455790734249</v>
      </c>
      <c r="M211" s="14">
        <f>AVERAGE(F211:F221)</f>
        <v>0.13032941070572135</v>
      </c>
      <c r="N211" s="16" t="s">
        <v>5</v>
      </c>
    </row>
    <row r="212" spans="1:14" x14ac:dyDescent="0.35">
      <c r="A212" t="s">
        <v>12</v>
      </c>
      <c r="B212">
        <v>160</v>
      </c>
      <c r="C212">
        <v>6</v>
      </c>
      <c r="D212" s="7">
        <v>1720.318250833895</v>
      </c>
      <c r="E212" s="8">
        <v>1720.318250833895</v>
      </c>
      <c r="F212" s="3">
        <f>($D$168-D212)/$D$168</f>
        <v>0.19364902465063366</v>
      </c>
      <c r="G212" s="5">
        <v>112.3854217529297</v>
      </c>
      <c r="H212" s="3">
        <v>0.32420064421577899</v>
      </c>
      <c r="I212">
        <v>1</v>
      </c>
      <c r="J212" s="5">
        <v>0.33395913483036849</v>
      </c>
      <c r="K212" s="5">
        <v>56.584077477956548</v>
      </c>
      <c r="M212" s="3">
        <f>AVERAGE(H211:H221)</f>
        <v>0.38819893983830644</v>
      </c>
      <c r="N212" s="9" t="s">
        <v>13</v>
      </c>
    </row>
    <row r="213" spans="1:14" x14ac:dyDescent="0.35">
      <c r="A213" t="s">
        <v>12</v>
      </c>
      <c r="B213">
        <v>160</v>
      </c>
      <c r="C213">
        <v>7</v>
      </c>
      <c r="D213" s="7">
        <v>2045.190081441647</v>
      </c>
      <c r="E213" s="8">
        <v>2045.190081441647</v>
      </c>
      <c r="F213" s="3">
        <f>($D$169-D213)/$D$169</f>
        <v>5.5448334256875259E-2</v>
      </c>
      <c r="G213" s="5">
        <v>112.6040823459625</v>
      </c>
      <c r="H213" s="3">
        <v>0.34364726678862079</v>
      </c>
      <c r="I213">
        <v>1</v>
      </c>
      <c r="J213" s="5">
        <v>0.27077809157149219</v>
      </c>
      <c r="K213" s="5">
        <v>56.152036929727529</v>
      </c>
      <c r="M213">
        <f>AVERAGE(I211:I221)</f>
        <v>1</v>
      </c>
      <c r="N213" s="9" t="s">
        <v>14</v>
      </c>
    </row>
    <row r="214" spans="1:14" x14ac:dyDescent="0.35">
      <c r="A214" t="s">
        <v>12</v>
      </c>
      <c r="B214">
        <v>160</v>
      </c>
      <c r="C214">
        <v>8</v>
      </c>
      <c r="D214" s="7">
        <v>1871.3996696125321</v>
      </c>
      <c r="E214" s="8">
        <v>1871.3996696125321</v>
      </c>
      <c r="F214" s="3">
        <f>($D$170-D214)/$D$170</f>
        <v>0.10382658451497635</v>
      </c>
      <c r="G214" s="5">
        <v>113.677337884903</v>
      </c>
      <c r="H214" s="3">
        <v>0.42699003342530378</v>
      </c>
      <c r="I214">
        <v>1</v>
      </c>
      <c r="J214" s="5">
        <v>0.29324137089751479</v>
      </c>
      <c r="K214" s="5">
        <v>56.273476042685758</v>
      </c>
      <c r="M214" s="5">
        <f>AVERAGE(J211:J221)</f>
        <v>0.2907200642052945</v>
      </c>
      <c r="N214" s="9" t="s">
        <v>15</v>
      </c>
    </row>
    <row r="215" spans="1:14" x14ac:dyDescent="0.35">
      <c r="A215" t="s">
        <v>12</v>
      </c>
      <c r="B215">
        <v>160</v>
      </c>
      <c r="C215">
        <v>9</v>
      </c>
      <c r="D215" s="7">
        <v>1787.7604640265911</v>
      </c>
      <c r="E215" s="8">
        <v>1787.7604640265911</v>
      </c>
      <c r="F215" s="3">
        <f>($D$171-D215)/$D$171</f>
        <v>0.15399902178180813</v>
      </c>
      <c r="G215" s="5">
        <v>112.2416179180145</v>
      </c>
      <c r="H215" s="3">
        <v>0.37777875594483118</v>
      </c>
      <c r="I215">
        <v>1</v>
      </c>
      <c r="J215" s="5">
        <v>0.29434113983187249</v>
      </c>
      <c r="K215" s="5">
        <v>56.050538072521597</v>
      </c>
      <c r="M215" s="5">
        <f>AVERAGE(K211:K221)</f>
        <v>56.336970379166246</v>
      </c>
      <c r="N215" s="9" t="s">
        <v>16</v>
      </c>
    </row>
    <row r="216" spans="1:14" x14ac:dyDescent="0.35">
      <c r="A216" t="s">
        <v>12</v>
      </c>
      <c r="B216">
        <v>160</v>
      </c>
      <c r="C216">
        <v>10</v>
      </c>
      <c r="D216" s="7">
        <v>1828.06736613302</v>
      </c>
      <c r="E216" s="8">
        <v>1828.06736613302</v>
      </c>
      <c r="F216" s="3">
        <f>($D$172-D216)/$D$172</f>
        <v>0.12225719730970547</v>
      </c>
      <c r="G216" s="5">
        <v>123.52119112014771</v>
      </c>
      <c r="H216" s="3">
        <v>0.41565566584465602</v>
      </c>
      <c r="I216">
        <v>1</v>
      </c>
      <c r="J216" s="5">
        <v>0.29238701342732648</v>
      </c>
      <c r="K216" s="5">
        <v>56.029112998382139</v>
      </c>
      <c r="M216" s="5">
        <f>AVERAGE(G211:G221)</f>
        <v>115.66283186999235</v>
      </c>
      <c r="N216" s="10" t="s">
        <v>6</v>
      </c>
    </row>
    <row r="217" spans="1:14" x14ac:dyDescent="0.35">
      <c r="A217" t="s">
        <v>12</v>
      </c>
      <c r="B217">
        <v>160</v>
      </c>
      <c r="C217">
        <v>11</v>
      </c>
      <c r="D217" s="7">
        <v>1950.123860202945</v>
      </c>
      <c r="E217" s="8">
        <v>1950.123860202945</v>
      </c>
      <c r="F217" s="3">
        <f>($D$173-D217)/$D$173</f>
        <v>6.3628875547816349E-2</v>
      </c>
      <c r="G217" s="5">
        <v>106.2744672298431</v>
      </c>
      <c r="H217" s="3">
        <v>0.4355924761114548</v>
      </c>
      <c r="I217">
        <v>1</v>
      </c>
      <c r="J217" s="5">
        <v>0.30036953237086311</v>
      </c>
      <c r="K217" s="5">
        <v>56.632081295716347</v>
      </c>
    </row>
    <row r="218" spans="1:14" x14ac:dyDescent="0.35">
      <c r="A218" t="s">
        <v>12</v>
      </c>
      <c r="B218">
        <v>160</v>
      </c>
      <c r="C218">
        <v>12</v>
      </c>
      <c r="D218" s="7">
        <v>1928.658351754646</v>
      </c>
      <c r="E218" s="8">
        <v>1928.658351754646</v>
      </c>
      <c r="F218" s="3">
        <f>($D$174-D218)/$D$174</f>
        <v>0.10352800837096482</v>
      </c>
      <c r="G218" s="5">
        <v>120.8081450462341</v>
      </c>
      <c r="H218" s="3">
        <v>0.53420846522444598</v>
      </c>
      <c r="I218">
        <v>0.99999999999999978</v>
      </c>
      <c r="J218" s="5">
        <v>0.34267427851705817</v>
      </c>
      <c r="K218" s="5">
        <v>56.300020110071259</v>
      </c>
    </row>
    <row r="219" spans="1:14" x14ac:dyDescent="0.35">
      <c r="A219" t="s">
        <v>12</v>
      </c>
      <c r="B219">
        <v>160</v>
      </c>
      <c r="C219">
        <v>13</v>
      </c>
      <c r="D219" s="7">
        <v>1956.6566205606171</v>
      </c>
      <c r="E219" s="8">
        <v>1956.6566205606171</v>
      </c>
      <c r="F219" s="3">
        <f>($D$175-D219)/$D$175</f>
        <v>7.3236661016200133E-2</v>
      </c>
      <c r="G219" s="5">
        <v>112.5439314842224</v>
      </c>
      <c r="H219" s="3">
        <v>0.41478979660928739</v>
      </c>
      <c r="I219">
        <v>1</v>
      </c>
      <c r="J219" s="5">
        <v>0.26658490490795711</v>
      </c>
      <c r="K219" s="5">
        <v>56.298208555063511</v>
      </c>
    </row>
    <row r="220" spans="1:14" x14ac:dyDescent="0.35">
      <c r="A220" t="s">
        <v>12</v>
      </c>
      <c r="B220">
        <v>160</v>
      </c>
      <c r="C220">
        <v>14</v>
      </c>
      <c r="D220" s="7">
        <v>1702.3308238691491</v>
      </c>
      <c r="E220" s="8">
        <v>1702.3308238691491</v>
      </c>
      <c r="F220" s="3">
        <f>($D$176-D220)/$D$176</f>
        <v>0.18466934122126163</v>
      </c>
      <c r="G220" s="5">
        <v>106.3034105300903</v>
      </c>
      <c r="H220" s="3">
        <v>0.28872988942676309</v>
      </c>
      <c r="I220">
        <v>1</v>
      </c>
      <c r="J220" s="5">
        <v>0.27969981221942031</v>
      </c>
      <c r="K220" s="5">
        <v>56.092310146284703</v>
      </c>
    </row>
    <row r="221" spans="1:14" x14ac:dyDescent="0.35">
      <c r="A221" t="s">
        <v>12</v>
      </c>
      <c r="B221">
        <v>160</v>
      </c>
      <c r="C221">
        <v>15</v>
      </c>
      <c r="D221" s="7">
        <v>1866.254608356405</v>
      </c>
      <c r="E221" s="8">
        <v>1866.254608356405</v>
      </c>
      <c r="F221" s="3">
        <f>($D$177-D221)/$D$177</f>
        <v>0.20406987090913128</v>
      </c>
      <c r="G221" s="5">
        <v>118.65394902229311</v>
      </c>
      <c r="H221" s="3">
        <v>0.41358364622711719</v>
      </c>
      <c r="I221">
        <v>1</v>
      </c>
      <c r="J221" s="5">
        <v>0.28504497490682468</v>
      </c>
      <c r="K221" s="5">
        <v>56.696356751685038</v>
      </c>
    </row>
    <row r="222" spans="1:14" s="11" customFormat="1" x14ac:dyDescent="0.35">
      <c r="A222" s="11" t="s">
        <v>11</v>
      </c>
      <c r="B222" s="11">
        <v>200</v>
      </c>
      <c r="C222" s="11">
        <v>5</v>
      </c>
      <c r="D222" s="12">
        <v>2195.3420257157841</v>
      </c>
      <c r="E222" s="13">
        <v>2195.3420257157841</v>
      </c>
      <c r="F222" s="14"/>
      <c r="G222" s="15">
        <v>3.9769999980926509</v>
      </c>
      <c r="H222" s="14">
        <v>0.28536365510827849</v>
      </c>
      <c r="I222" s="11">
        <v>1</v>
      </c>
      <c r="J222" s="15">
        <v>0.26082328784670811</v>
      </c>
      <c r="K222" s="15">
        <v>56.345808132020672</v>
      </c>
    </row>
    <row r="223" spans="1:14" x14ac:dyDescent="0.35">
      <c r="A223" t="s">
        <v>11</v>
      </c>
      <c r="B223">
        <v>200</v>
      </c>
      <c r="C223">
        <v>6</v>
      </c>
      <c r="D223" s="7">
        <v>2122.965919553772</v>
      </c>
      <c r="E223" s="8">
        <v>2122.965919553772</v>
      </c>
      <c r="F223" s="3"/>
      <c r="G223" s="5">
        <v>4.503000020980835</v>
      </c>
      <c r="H223" s="3">
        <v>0.27487383600120491</v>
      </c>
      <c r="I223">
        <v>1</v>
      </c>
      <c r="J223" s="5">
        <v>0.27538093178341277</v>
      </c>
      <c r="K223" s="5">
        <v>56.519787734743161</v>
      </c>
    </row>
    <row r="224" spans="1:14" x14ac:dyDescent="0.35">
      <c r="A224" t="s">
        <v>11</v>
      </c>
      <c r="B224">
        <v>200</v>
      </c>
      <c r="C224">
        <v>7</v>
      </c>
      <c r="D224" s="7">
        <v>2207.2813152952431</v>
      </c>
      <c r="E224" s="8">
        <v>2207.2813152952431</v>
      </c>
      <c r="F224" s="3"/>
      <c r="G224" s="5">
        <v>3.845000028610229</v>
      </c>
      <c r="H224" s="3">
        <v>0.3576693003431104</v>
      </c>
      <c r="I224">
        <v>0.99999999999999978</v>
      </c>
      <c r="J224" s="5">
        <v>0.27106097642847182</v>
      </c>
      <c r="K224" s="5">
        <v>56.413258891501897</v>
      </c>
    </row>
    <row r="225" spans="1:14" x14ac:dyDescent="0.35">
      <c r="A225" t="s">
        <v>11</v>
      </c>
      <c r="B225">
        <v>200</v>
      </c>
      <c r="C225">
        <v>8</v>
      </c>
      <c r="D225" s="7">
        <v>2094.8699671100098</v>
      </c>
      <c r="E225" s="8">
        <v>2094.8699671100098</v>
      </c>
      <c r="F225" s="3"/>
      <c r="G225" s="5">
        <v>3.9800000190734859</v>
      </c>
      <c r="H225" s="3">
        <v>0.24220537263738881</v>
      </c>
      <c r="I225">
        <v>1</v>
      </c>
      <c r="J225" s="5">
        <v>0.27535452463382948</v>
      </c>
      <c r="K225" s="5">
        <v>56.577948890487441</v>
      </c>
    </row>
    <row r="226" spans="1:14" x14ac:dyDescent="0.35">
      <c r="A226" t="s">
        <v>11</v>
      </c>
      <c r="B226">
        <v>200</v>
      </c>
      <c r="C226">
        <v>9</v>
      </c>
      <c r="D226" s="7">
        <v>2146.9812349781769</v>
      </c>
      <c r="E226" s="8">
        <v>2146.9812349781769</v>
      </c>
      <c r="F226" s="3"/>
      <c r="G226" s="5">
        <v>3.5820000171661381</v>
      </c>
      <c r="H226" s="3">
        <v>0.25373375056270431</v>
      </c>
      <c r="I226">
        <v>1</v>
      </c>
      <c r="J226" s="5">
        <v>0.24229064490022101</v>
      </c>
      <c r="K226" s="5">
        <v>56.363472962199928</v>
      </c>
    </row>
    <row r="227" spans="1:14" x14ac:dyDescent="0.35">
      <c r="A227" t="s">
        <v>11</v>
      </c>
      <c r="B227">
        <v>200</v>
      </c>
      <c r="C227">
        <v>10</v>
      </c>
      <c r="D227" s="7">
        <v>2114.3491522498289</v>
      </c>
      <c r="E227" s="8">
        <v>2114.3491522498289</v>
      </c>
      <c r="F227" s="3"/>
      <c r="G227" s="5">
        <v>3.6759998798370361</v>
      </c>
      <c r="H227" s="3">
        <v>0.29040855509581831</v>
      </c>
      <c r="I227">
        <v>1</v>
      </c>
      <c r="J227" s="5">
        <v>0.26992837767368932</v>
      </c>
      <c r="K227" s="5">
        <v>56.543935517395362</v>
      </c>
    </row>
    <row r="228" spans="1:14" x14ac:dyDescent="0.35">
      <c r="A228" t="s">
        <v>11</v>
      </c>
      <c r="B228">
        <v>200</v>
      </c>
      <c r="C228">
        <v>11</v>
      </c>
      <c r="D228" s="7">
        <v>2142.0122501018118</v>
      </c>
      <c r="E228" s="8">
        <v>2142.0122501018118</v>
      </c>
      <c r="F228" s="3"/>
      <c r="G228" s="5">
        <v>3.6139998435974121</v>
      </c>
      <c r="H228" s="3">
        <v>0.27229033630693977</v>
      </c>
      <c r="I228">
        <v>1</v>
      </c>
      <c r="J228" s="5">
        <v>0.25918418785940678</v>
      </c>
      <c r="K228" s="5">
        <v>56.373454432277711</v>
      </c>
    </row>
    <row r="229" spans="1:14" x14ac:dyDescent="0.35">
      <c r="A229" t="s">
        <v>11</v>
      </c>
      <c r="B229">
        <v>200</v>
      </c>
      <c r="C229">
        <v>12</v>
      </c>
      <c r="D229" s="7">
        <v>2173.2276514203281</v>
      </c>
      <c r="E229" s="8">
        <v>2173.2276514203281</v>
      </c>
      <c r="F229" s="3"/>
      <c r="G229" s="5">
        <v>3.6940000057220459</v>
      </c>
      <c r="H229" s="3">
        <v>0.25789960032385412</v>
      </c>
      <c r="I229">
        <v>1</v>
      </c>
      <c r="J229" s="5">
        <v>0.21473099670613699</v>
      </c>
      <c r="K229" s="5">
        <v>56.3878499833598</v>
      </c>
    </row>
    <row r="230" spans="1:14" x14ac:dyDescent="0.35">
      <c r="A230" t="s">
        <v>11</v>
      </c>
      <c r="B230">
        <v>200</v>
      </c>
      <c r="C230">
        <v>13</v>
      </c>
      <c r="D230" s="7">
        <v>2147.8629943831911</v>
      </c>
      <c r="E230" s="8">
        <v>2147.8629943831911</v>
      </c>
      <c r="F230" s="3"/>
      <c r="G230" s="5">
        <v>3.5720000267028809</v>
      </c>
      <c r="H230" s="3">
        <v>0.27256475282916398</v>
      </c>
      <c r="I230">
        <v>1</v>
      </c>
      <c r="J230" s="5">
        <v>0.2631644868548606</v>
      </c>
      <c r="K230" s="5">
        <v>56.422221580932053</v>
      </c>
    </row>
    <row r="231" spans="1:14" x14ac:dyDescent="0.35">
      <c r="A231" t="s">
        <v>11</v>
      </c>
      <c r="B231">
        <v>200</v>
      </c>
      <c r="C231">
        <v>14</v>
      </c>
      <c r="D231" s="7">
        <v>2088.2433060729568</v>
      </c>
      <c r="E231" s="8">
        <v>2088.2433060729568</v>
      </c>
      <c r="F231" s="3"/>
      <c r="G231" s="5">
        <v>4.1170001029968262</v>
      </c>
      <c r="H231" s="3">
        <v>0.23772344482277591</v>
      </c>
      <c r="I231">
        <v>1</v>
      </c>
      <c r="J231" s="5">
        <v>0.25554118759933447</v>
      </c>
      <c r="K231" s="5">
        <v>56.46834100498392</v>
      </c>
    </row>
    <row r="232" spans="1:14" x14ac:dyDescent="0.35">
      <c r="A232" t="s">
        <v>11</v>
      </c>
      <c r="B232">
        <v>200</v>
      </c>
      <c r="C232">
        <v>15</v>
      </c>
      <c r="D232" s="7">
        <v>2367.2014489172038</v>
      </c>
      <c r="E232" s="8">
        <v>2367.2014489172038</v>
      </c>
      <c r="F232" s="3"/>
      <c r="G232" s="5">
        <v>3.878000020980835</v>
      </c>
      <c r="H232" s="3">
        <v>0.36545077780321777</v>
      </c>
      <c r="I232">
        <v>0.99999999999999978</v>
      </c>
      <c r="J232" s="5">
        <v>0.23182017547564601</v>
      </c>
      <c r="K232" s="5">
        <v>56.281884317001492</v>
      </c>
    </row>
    <row r="233" spans="1:14" s="11" customFormat="1" x14ac:dyDescent="0.35">
      <c r="A233" s="11" t="s">
        <v>12</v>
      </c>
      <c r="B233" s="11">
        <v>200</v>
      </c>
      <c r="C233" s="11">
        <v>5</v>
      </c>
      <c r="D233" s="12">
        <v>2164.4042929601619</v>
      </c>
      <c r="E233" s="13">
        <v>2164.4042929601619</v>
      </c>
      <c r="F233" s="14">
        <f>($D$222-D233)/$D$222</f>
        <v>1.4092443178886907E-2</v>
      </c>
      <c r="G233" s="15">
        <v>126.4973206520081</v>
      </c>
      <c r="H233" s="14">
        <v>0.71717920518628731</v>
      </c>
      <c r="I233" s="11">
        <v>1</v>
      </c>
      <c r="J233" s="15">
        <v>0.2431152170525871</v>
      </c>
      <c r="K233" s="15">
        <v>56.292545311762822</v>
      </c>
      <c r="M233" s="14">
        <f>AVERAGE(F233:F243)</f>
        <v>6.7435085347932494E-2</v>
      </c>
      <c r="N233" s="16" t="s">
        <v>5</v>
      </c>
    </row>
    <row r="234" spans="1:14" x14ac:dyDescent="0.35">
      <c r="A234" t="s">
        <v>12</v>
      </c>
      <c r="B234">
        <v>200</v>
      </c>
      <c r="C234">
        <v>6</v>
      </c>
      <c r="D234" s="7">
        <v>1978.3175715606139</v>
      </c>
      <c r="E234" s="8">
        <v>1978.3175715606139</v>
      </c>
      <c r="F234" s="3">
        <f>($D$223-D234)/$D$223</f>
        <v>6.8135030647859765E-2</v>
      </c>
      <c r="G234" s="5">
        <v>90.393275499343872</v>
      </c>
      <c r="H234" s="3">
        <v>0.66799490509188164</v>
      </c>
      <c r="I234">
        <v>1</v>
      </c>
      <c r="J234" s="5">
        <v>0.36314966098574541</v>
      </c>
      <c r="K234" s="5">
        <v>56.189269895040397</v>
      </c>
      <c r="M234" s="3">
        <f>AVERAGE(H233:H243)</f>
        <v>0.65218682630946623</v>
      </c>
      <c r="N234" s="9" t="s">
        <v>13</v>
      </c>
    </row>
    <row r="235" spans="1:14" x14ac:dyDescent="0.35">
      <c r="A235" t="s">
        <v>12</v>
      </c>
      <c r="B235">
        <v>200</v>
      </c>
      <c r="C235">
        <v>7</v>
      </c>
      <c r="D235" s="7">
        <v>2139.0198303827829</v>
      </c>
      <c r="E235" s="8">
        <v>2139.0198303827829</v>
      </c>
      <c r="F235" s="3">
        <f>($D$224-D235)/$D$224</f>
        <v>3.0925593597628788E-2</v>
      </c>
      <c r="G235" s="5">
        <v>98.059702157974243</v>
      </c>
      <c r="H235" s="3">
        <v>0.7121430860330179</v>
      </c>
      <c r="I235">
        <v>1</v>
      </c>
      <c r="J235" s="5">
        <v>0.29849461050877818</v>
      </c>
      <c r="K235" s="5">
        <v>56.367651023942109</v>
      </c>
      <c r="M235">
        <f>AVERAGE(I233:I243)</f>
        <v>1</v>
      </c>
      <c r="N235" s="9" t="s">
        <v>14</v>
      </c>
    </row>
    <row r="236" spans="1:14" x14ac:dyDescent="0.35">
      <c r="A236" t="s">
        <v>12</v>
      </c>
      <c r="B236">
        <v>200</v>
      </c>
      <c r="C236">
        <v>8</v>
      </c>
      <c r="D236" s="7">
        <v>2025.594166483002</v>
      </c>
      <c r="E236" s="8">
        <v>2025.594166483002</v>
      </c>
      <c r="F236" s="3">
        <f>($D$225-D236)/$D$225</f>
        <v>3.306926048616643E-2</v>
      </c>
      <c r="G236" s="5">
        <v>98.514549732208252</v>
      </c>
      <c r="H236" s="3">
        <v>0.64145598101049128</v>
      </c>
      <c r="I236">
        <v>1</v>
      </c>
      <c r="J236" s="5">
        <v>0.33727377226971972</v>
      </c>
      <c r="K236" s="5">
        <v>56.309918356831218</v>
      </c>
      <c r="M236" s="5">
        <f>AVERAGE(J233:J243)</f>
        <v>0.31159042482139604</v>
      </c>
      <c r="N236" s="9" t="s">
        <v>15</v>
      </c>
    </row>
    <row r="237" spans="1:14" x14ac:dyDescent="0.35">
      <c r="A237" t="s">
        <v>12</v>
      </c>
      <c r="B237">
        <v>200</v>
      </c>
      <c r="C237">
        <v>9</v>
      </c>
      <c r="D237" s="7">
        <v>1903.5524863180169</v>
      </c>
      <c r="E237" s="8">
        <v>1903.5524863180169</v>
      </c>
      <c r="F237" s="3">
        <f>($D$226-D237)/$D$226</f>
        <v>0.11338187064435815</v>
      </c>
      <c r="G237" s="5">
        <v>103.99380254745481</v>
      </c>
      <c r="H237" s="3">
        <v>0.5893240183523708</v>
      </c>
      <c r="I237">
        <v>1</v>
      </c>
      <c r="J237" s="5">
        <v>0.32120862526741462</v>
      </c>
      <c r="K237" s="5">
        <v>56.059793305187171</v>
      </c>
      <c r="M237" s="5">
        <f>AVERAGE(K233:K243)</f>
        <v>56.27151013547325</v>
      </c>
      <c r="N237" s="9" t="s">
        <v>16</v>
      </c>
    </row>
    <row r="238" spans="1:14" x14ac:dyDescent="0.35">
      <c r="A238" t="s">
        <v>12</v>
      </c>
      <c r="B238">
        <v>200</v>
      </c>
      <c r="C238">
        <v>10</v>
      </c>
      <c r="D238" s="7">
        <v>1987.6207859704459</v>
      </c>
      <c r="E238" s="8">
        <v>1987.6207859704459</v>
      </c>
      <c r="F238" s="3">
        <f>($D$227-D238)/$D$227</f>
        <v>5.9937293774083765E-2</v>
      </c>
      <c r="G238" s="5">
        <v>115.93304395675661</v>
      </c>
      <c r="H238" s="3">
        <v>0.66581590590207596</v>
      </c>
      <c r="I238">
        <v>1</v>
      </c>
      <c r="J238" s="5">
        <v>0.30486578733218372</v>
      </c>
      <c r="K238" s="5">
        <v>56.285923244849151</v>
      </c>
      <c r="M238" s="5">
        <f>AVERAGE(G233:G243)</f>
        <v>106.81589375842701</v>
      </c>
      <c r="N238" s="10" t="s">
        <v>6</v>
      </c>
    </row>
    <row r="239" spans="1:14" x14ac:dyDescent="0.35">
      <c r="A239" t="s">
        <v>12</v>
      </c>
      <c r="B239">
        <v>200</v>
      </c>
      <c r="C239">
        <v>11</v>
      </c>
      <c r="D239" s="7">
        <v>2071.298756685756</v>
      </c>
      <c r="E239" s="8">
        <v>2071.298756685756</v>
      </c>
      <c r="F239" s="3">
        <f>($D$228-D239)/$D$228</f>
        <v>3.3012646595599417E-2</v>
      </c>
      <c r="G239" s="5">
        <v>104.1225373744965</v>
      </c>
      <c r="H239" s="3">
        <v>0.66968436548022314</v>
      </c>
      <c r="I239">
        <v>1</v>
      </c>
      <c r="J239" s="5">
        <v>0.31236023437729438</v>
      </c>
      <c r="K239" s="5">
        <v>56.251016522533178</v>
      </c>
    </row>
    <row r="240" spans="1:14" x14ac:dyDescent="0.35">
      <c r="A240" t="s">
        <v>12</v>
      </c>
      <c r="B240">
        <v>200</v>
      </c>
      <c r="C240">
        <v>12</v>
      </c>
      <c r="D240" s="7">
        <v>1975.284399345948</v>
      </c>
      <c r="E240" s="8">
        <v>1975.284399345948</v>
      </c>
      <c r="F240" s="3">
        <f>($D$229-D240)/$D$229</f>
        <v>9.1082612511861283E-2</v>
      </c>
      <c r="G240" s="5">
        <v>99.37116813659668</v>
      </c>
      <c r="H240" s="3">
        <v>0.6537118742266913</v>
      </c>
      <c r="I240">
        <v>1</v>
      </c>
      <c r="J240" s="5">
        <v>0.3550805024219324</v>
      </c>
      <c r="K240" s="5">
        <v>56.170859552758891</v>
      </c>
    </row>
    <row r="241" spans="1:14" x14ac:dyDescent="0.35">
      <c r="A241" t="s">
        <v>12</v>
      </c>
      <c r="B241">
        <v>200</v>
      </c>
      <c r="C241">
        <v>13</v>
      </c>
      <c r="D241" s="7">
        <v>2062.6950787976202</v>
      </c>
      <c r="E241" s="8">
        <v>2062.6950787976202</v>
      </c>
      <c r="F241" s="3">
        <f>($D$230-D241)/$D$230</f>
        <v>3.9652396734936451E-2</v>
      </c>
      <c r="G241" s="5">
        <v>100.0447344779968</v>
      </c>
      <c r="H241" s="3">
        <v>0.69025579387271185</v>
      </c>
      <c r="I241">
        <v>0.99999999999999978</v>
      </c>
      <c r="J241" s="5">
        <v>0.27388013218858709</v>
      </c>
      <c r="K241" s="5">
        <v>56.21204280033173</v>
      </c>
    </row>
    <row r="242" spans="1:14" x14ac:dyDescent="0.35">
      <c r="A242" t="s">
        <v>12</v>
      </c>
      <c r="B242">
        <v>200</v>
      </c>
      <c r="C242">
        <v>14</v>
      </c>
      <c r="D242" s="7">
        <v>1930.7387305120981</v>
      </c>
      <c r="E242" s="8">
        <v>1930.7387305120981</v>
      </c>
      <c r="F242" s="3">
        <f>($D$231-D242)/$D$231</f>
        <v>7.542443694315186E-2</v>
      </c>
      <c r="G242" s="5">
        <v>132.1084158420563</v>
      </c>
      <c r="H242" s="3">
        <v>0.62574550171877785</v>
      </c>
      <c r="I242">
        <v>1</v>
      </c>
      <c r="J242" s="5">
        <v>0.32227419645519029</v>
      </c>
      <c r="K242" s="5">
        <v>56.387220382547973</v>
      </c>
    </row>
    <row r="243" spans="1:14" x14ac:dyDescent="0.35">
      <c r="A243" t="s">
        <v>12</v>
      </c>
      <c r="B243">
        <v>200</v>
      </c>
      <c r="C243">
        <v>15</v>
      </c>
      <c r="D243" s="7">
        <v>1933.832307951759</v>
      </c>
      <c r="E243" s="8">
        <v>1933.832307951759</v>
      </c>
      <c r="F243" s="3">
        <f>($D$232-D243)/$D$232</f>
        <v>0.18307235371272471</v>
      </c>
      <c r="G243" s="5">
        <v>105.9362809658051</v>
      </c>
      <c r="H243" s="3">
        <v>0.54074445252959935</v>
      </c>
      <c r="I243">
        <v>1</v>
      </c>
      <c r="J243" s="5">
        <v>0.29579193417592342</v>
      </c>
      <c r="K243" s="5">
        <v>56.460371094421099</v>
      </c>
    </row>
    <row r="244" spans="1:14" s="11" customFormat="1" x14ac:dyDescent="0.35">
      <c r="A244" s="11" t="s">
        <v>12</v>
      </c>
      <c r="B244" s="11">
        <v>200</v>
      </c>
      <c r="C244" s="11">
        <v>5</v>
      </c>
      <c r="D244" s="12">
        <v>2164.4042929601619</v>
      </c>
      <c r="E244" s="13">
        <v>2164.4042929601619</v>
      </c>
      <c r="F244" s="14">
        <f>($D$222-D244)/$D$222</f>
        <v>1.4092443178886907E-2</v>
      </c>
      <c r="G244" s="15">
        <v>127.6482853889465</v>
      </c>
      <c r="H244" s="14">
        <v>0.71717920518628731</v>
      </c>
      <c r="I244" s="11">
        <v>1</v>
      </c>
      <c r="J244" s="15">
        <v>0.2431152170525871</v>
      </c>
      <c r="K244" s="15">
        <v>56.292545311762822</v>
      </c>
      <c r="M244" s="14">
        <f>AVERAGE(F244:F254)</f>
        <v>8.3613608190718378E-2</v>
      </c>
      <c r="N244" s="16" t="s">
        <v>5</v>
      </c>
    </row>
    <row r="245" spans="1:14" x14ac:dyDescent="0.35">
      <c r="A245" t="s">
        <v>12</v>
      </c>
      <c r="B245">
        <v>200</v>
      </c>
      <c r="C245">
        <v>6</v>
      </c>
      <c r="D245" s="7">
        <v>1837.0913628175131</v>
      </c>
      <c r="E245" s="8">
        <v>1837.0913628175131</v>
      </c>
      <c r="F245" s="3">
        <f>($D$223-D245)/$D$223</f>
        <v>0.13465809983249619</v>
      </c>
      <c r="G245" s="5">
        <v>121.2229368686676</v>
      </c>
      <c r="H245" s="3">
        <v>0.45888532354042272</v>
      </c>
      <c r="I245">
        <v>1</v>
      </c>
      <c r="J245" s="5">
        <v>0.3675950223587186</v>
      </c>
      <c r="K245" s="5">
        <v>56.552551929892672</v>
      </c>
      <c r="M245" s="3">
        <f>AVERAGE(H244:H254)</f>
        <v>0.55890338370224868</v>
      </c>
      <c r="N245" s="9" t="s">
        <v>13</v>
      </c>
    </row>
    <row r="246" spans="1:14" x14ac:dyDescent="0.35">
      <c r="A246" t="s">
        <v>12</v>
      </c>
      <c r="B246">
        <v>200</v>
      </c>
      <c r="C246">
        <v>7</v>
      </c>
      <c r="D246" s="7">
        <v>2147.781562258705</v>
      </c>
      <c r="E246" s="8">
        <v>2147.781562258705</v>
      </c>
      <c r="F246" s="3">
        <f>($D$224-D246)/$D$224</f>
        <v>2.695612590213925E-2</v>
      </c>
      <c r="G246" s="5">
        <v>103.6975343227386</v>
      </c>
      <c r="H246" s="3">
        <v>0.64457266831241744</v>
      </c>
      <c r="I246">
        <v>1</v>
      </c>
      <c r="J246" s="5">
        <v>0.29408478676663868</v>
      </c>
      <c r="K246" s="5">
        <v>56.297755531678867</v>
      </c>
      <c r="M246">
        <f>AVERAGE(I244:I254)</f>
        <v>1</v>
      </c>
      <c r="N246" s="9" t="s">
        <v>14</v>
      </c>
    </row>
    <row r="247" spans="1:14" x14ac:dyDescent="0.35">
      <c r="A247" t="s">
        <v>12</v>
      </c>
      <c r="B247">
        <v>200</v>
      </c>
      <c r="C247">
        <v>8</v>
      </c>
      <c r="D247" s="7">
        <v>1880.8795874412831</v>
      </c>
      <c r="E247" s="8">
        <v>1880.8795874412831</v>
      </c>
      <c r="F247" s="3">
        <f>($D$225-D247)/$D$225</f>
        <v>0.10214971956657455</v>
      </c>
      <c r="G247" s="5">
        <v>111.6779429912567</v>
      </c>
      <c r="H247" s="3">
        <v>0.36442678431138048</v>
      </c>
      <c r="I247">
        <v>0.99999999999999989</v>
      </c>
      <c r="J247" s="5">
        <v>0.31829818830584711</v>
      </c>
      <c r="K247" s="5">
        <v>56.36297760080663</v>
      </c>
      <c r="M247" s="5">
        <f>AVERAGE(J244:J254)</f>
        <v>0.30901524072284109</v>
      </c>
      <c r="N247" s="9" t="s">
        <v>15</v>
      </c>
    </row>
    <row r="248" spans="1:14" x14ac:dyDescent="0.35">
      <c r="A248" t="s">
        <v>12</v>
      </c>
      <c r="B248">
        <v>200</v>
      </c>
      <c r="C248">
        <v>9</v>
      </c>
      <c r="D248" s="7">
        <v>1820.8354674355239</v>
      </c>
      <c r="E248" s="8">
        <v>1820.8354674355239</v>
      </c>
      <c r="F248" s="3">
        <f>($D$226-D248)/$D$226</f>
        <v>0.15190899772627406</v>
      </c>
      <c r="G248" s="5">
        <v>118.9262363910675</v>
      </c>
      <c r="H248" s="3">
        <v>0.46304324001464348</v>
      </c>
      <c r="I248">
        <v>1</v>
      </c>
      <c r="J248" s="5">
        <v>0.3176038645451883</v>
      </c>
      <c r="K248" s="5">
        <v>56.136061986489032</v>
      </c>
      <c r="M248" s="5">
        <f>AVERAGE(K244:K254)</f>
        <v>56.303022289361088</v>
      </c>
      <c r="N248" s="9" t="s">
        <v>16</v>
      </c>
    </row>
    <row r="249" spans="1:14" x14ac:dyDescent="0.35">
      <c r="A249" t="s">
        <v>12</v>
      </c>
      <c r="B249">
        <v>200</v>
      </c>
      <c r="C249">
        <v>10</v>
      </c>
      <c r="D249" s="7">
        <v>1973.104996975575</v>
      </c>
      <c r="E249" s="8">
        <v>1973.104996975575</v>
      </c>
      <c r="F249" s="3">
        <f>($D$227-D249)/$D$227</f>
        <v>6.6802663658440398E-2</v>
      </c>
      <c r="G249" s="5">
        <v>117.38442444801331</v>
      </c>
      <c r="H249" s="3">
        <v>0.64335590724993186</v>
      </c>
      <c r="I249">
        <v>1</v>
      </c>
      <c r="J249" s="5">
        <v>0.30440728993604232</v>
      </c>
      <c r="K249" s="5">
        <v>56.363471144981673</v>
      </c>
      <c r="M249" s="5">
        <f>AVERAGE(G244:G254)</f>
        <v>115.60936672037298</v>
      </c>
      <c r="N249" s="10" t="s">
        <v>6</v>
      </c>
    </row>
    <row r="250" spans="1:14" x14ac:dyDescent="0.35">
      <c r="A250" t="s">
        <v>12</v>
      </c>
      <c r="B250">
        <v>200</v>
      </c>
      <c r="C250">
        <v>11</v>
      </c>
      <c r="D250" s="7">
        <v>2035.585010487534</v>
      </c>
      <c r="E250" s="8">
        <v>2035.585010487534</v>
      </c>
      <c r="F250" s="3">
        <f>($D$228-D250)/$D$228</f>
        <v>4.9685635368901013E-2</v>
      </c>
      <c r="G250" s="5">
        <v>111.6970977783203</v>
      </c>
      <c r="H250" s="3">
        <v>0.56690270781557828</v>
      </c>
      <c r="I250">
        <v>1</v>
      </c>
      <c r="J250" s="5">
        <v>0.31279906522759271</v>
      </c>
      <c r="K250" s="5">
        <v>56.37886258252901</v>
      </c>
    </row>
    <row r="251" spans="1:14" x14ac:dyDescent="0.35">
      <c r="A251" t="s">
        <v>12</v>
      </c>
      <c r="B251">
        <v>200</v>
      </c>
      <c r="C251">
        <v>12</v>
      </c>
      <c r="D251" s="7">
        <v>1973.1653372552751</v>
      </c>
      <c r="E251" s="8">
        <v>1973.1653372552751</v>
      </c>
      <c r="F251" s="3">
        <f>($D$229-D251)/$D$229</f>
        <v>9.2057688495865098E-2</v>
      </c>
      <c r="G251" s="5">
        <v>116.51079034805301</v>
      </c>
      <c r="H251" s="3">
        <v>0.64438665660145167</v>
      </c>
      <c r="I251">
        <v>1</v>
      </c>
      <c r="J251" s="5">
        <v>0.35500257659301448</v>
      </c>
      <c r="K251" s="5">
        <v>56.15665010699513</v>
      </c>
    </row>
    <row r="252" spans="1:14" x14ac:dyDescent="0.35">
      <c r="A252" t="s">
        <v>12</v>
      </c>
      <c r="B252">
        <v>200</v>
      </c>
      <c r="C252">
        <v>13</v>
      </c>
      <c r="D252" s="7">
        <v>2057.9537872070941</v>
      </c>
      <c r="E252" s="8">
        <v>2057.9537872070941</v>
      </c>
      <c r="F252" s="3">
        <f>($D$230-D252)/$D$230</f>
        <v>4.1859842741932662E-2</v>
      </c>
      <c r="G252" s="5">
        <v>108.02144193649291</v>
      </c>
      <c r="H252" s="3">
        <v>0.68065399875423827</v>
      </c>
      <c r="I252">
        <v>1</v>
      </c>
      <c r="J252" s="5">
        <v>0.27353291343991959</v>
      </c>
      <c r="K252" s="5">
        <v>56.220377099351317</v>
      </c>
    </row>
    <row r="253" spans="1:14" x14ac:dyDescent="0.35">
      <c r="A253" t="s">
        <v>12</v>
      </c>
      <c r="B253">
        <v>200</v>
      </c>
      <c r="C253">
        <v>14</v>
      </c>
      <c r="D253" s="7">
        <v>1912.796169926791</v>
      </c>
      <c r="E253" s="8">
        <v>1912.796169926791</v>
      </c>
      <c r="F253" s="3">
        <f>($D$231-D253)/$D$231</f>
        <v>8.4016616088717494E-2</v>
      </c>
      <c r="G253" s="5">
        <v>110.3051326274872</v>
      </c>
      <c r="H253" s="3">
        <v>0.45659520501060091</v>
      </c>
      <c r="I253">
        <v>1</v>
      </c>
      <c r="J253" s="5">
        <v>0.32631074778046087</v>
      </c>
      <c r="K253" s="5">
        <v>56.306790890124347</v>
      </c>
    </row>
    <row r="254" spans="1:14" x14ac:dyDescent="0.35">
      <c r="A254" t="s">
        <v>12</v>
      </c>
      <c r="B254">
        <v>200</v>
      </c>
      <c r="C254">
        <v>15</v>
      </c>
      <c r="D254" s="7">
        <v>1998.955194357769</v>
      </c>
      <c r="E254" s="8">
        <v>1998.955194357769</v>
      </c>
      <c r="F254" s="3">
        <f>($D$232-D254)/$D$232</f>
        <v>0.15556185753767457</v>
      </c>
      <c r="G254" s="5">
        <v>124.6112108230591</v>
      </c>
      <c r="H254" s="3">
        <v>0.50793552392778352</v>
      </c>
      <c r="I254">
        <v>1</v>
      </c>
      <c r="J254" s="5">
        <v>0.28641797594524149</v>
      </c>
      <c r="K254" s="5">
        <v>56.265200998360463</v>
      </c>
    </row>
    <row r="255" spans="1:14" s="11" customFormat="1" x14ac:dyDescent="0.35">
      <c r="A255" s="11" t="s">
        <v>12</v>
      </c>
      <c r="B255" s="11">
        <v>200</v>
      </c>
      <c r="C255" s="11">
        <v>5</v>
      </c>
      <c r="D255" s="12">
        <v>2155.3417258861932</v>
      </c>
      <c r="E255" s="13">
        <v>2155.3417258861932</v>
      </c>
      <c r="F255" s="14">
        <f>($D$222-D255)/$D$222</f>
        <v>1.8220532090688187E-2</v>
      </c>
      <c r="G255" s="15">
        <v>125.36278343200679</v>
      </c>
      <c r="H255" s="14">
        <v>0.71251429625961094</v>
      </c>
      <c r="I255" s="11">
        <v>1</v>
      </c>
      <c r="J255" s="15">
        <v>0.24214821508611539</v>
      </c>
      <c r="K255" s="15">
        <v>56.341197926091951</v>
      </c>
      <c r="M255" s="14">
        <f>AVERAGE(F255:F265)</f>
        <v>7.6600539081763466E-2</v>
      </c>
      <c r="N255" s="16" t="s">
        <v>5</v>
      </c>
    </row>
    <row r="256" spans="1:14" x14ac:dyDescent="0.35">
      <c r="A256" t="s">
        <v>12</v>
      </c>
      <c r="B256">
        <v>200</v>
      </c>
      <c r="C256">
        <v>6</v>
      </c>
      <c r="D256" s="7">
        <v>1964.7325598273869</v>
      </c>
      <c r="E256" s="8">
        <v>1964.7325598273869</v>
      </c>
      <c r="F256" s="3">
        <f>($D$223-D256)/$D$223</f>
        <v>7.4534102629233101E-2</v>
      </c>
      <c r="G256" s="5">
        <v>113.9289536476135</v>
      </c>
      <c r="H256" s="3">
        <v>0.66041318610132016</v>
      </c>
      <c r="I256">
        <v>1</v>
      </c>
      <c r="J256" s="5">
        <v>0.35671027802741989</v>
      </c>
      <c r="K256" s="5">
        <v>56.28118126413446</v>
      </c>
      <c r="M256" s="3">
        <f>AVERAGE(H255:H265)</f>
        <v>0.62344483463227196</v>
      </c>
      <c r="N256" s="9" t="s">
        <v>13</v>
      </c>
    </row>
    <row r="257" spans="1:14" x14ac:dyDescent="0.35">
      <c r="A257" t="s">
        <v>12</v>
      </c>
      <c r="B257">
        <v>200</v>
      </c>
      <c r="C257">
        <v>7</v>
      </c>
      <c r="D257" s="7">
        <v>2148.8242039517809</v>
      </c>
      <c r="E257" s="8">
        <v>2148.8242039517809</v>
      </c>
      <c r="F257" s="3">
        <f>($D$224-D257)/$D$224</f>
        <v>2.6483761239850415E-2</v>
      </c>
      <c r="G257" s="5">
        <v>127.3324823379517</v>
      </c>
      <c r="H257" s="3">
        <v>0.69402177947838362</v>
      </c>
      <c r="I257">
        <v>1</v>
      </c>
      <c r="J257" s="5">
        <v>0.29417821218018381</v>
      </c>
      <c r="K257" s="5">
        <v>56.276314026393059</v>
      </c>
      <c r="M257">
        <f>AVERAGE(I255:I265)</f>
        <v>1</v>
      </c>
      <c r="N257" s="9" t="s">
        <v>14</v>
      </c>
    </row>
    <row r="258" spans="1:14" x14ac:dyDescent="0.35">
      <c r="A258" t="s">
        <v>12</v>
      </c>
      <c r="B258">
        <v>200</v>
      </c>
      <c r="C258">
        <v>8</v>
      </c>
      <c r="D258" s="7">
        <v>1976.0255378104159</v>
      </c>
      <c r="E258" s="8">
        <v>1976.0255378104159</v>
      </c>
      <c r="F258" s="3">
        <f>($D$225-D258)/$D$225</f>
        <v>5.6731172419043477E-2</v>
      </c>
      <c r="G258" s="5">
        <v>114.9054553508759</v>
      </c>
      <c r="H258" s="3">
        <v>0.62054836738793051</v>
      </c>
      <c r="I258">
        <v>1</v>
      </c>
      <c r="J258" s="5">
        <v>0.34122569116552881</v>
      </c>
      <c r="K258" s="5">
        <v>56.608318650607252</v>
      </c>
      <c r="M258" s="5">
        <f>AVERAGE(J255:J265)</f>
        <v>0.30864867542450036</v>
      </c>
      <c r="N258" s="9" t="s">
        <v>15</v>
      </c>
    </row>
    <row r="259" spans="1:14" x14ac:dyDescent="0.35">
      <c r="A259" t="s">
        <v>12</v>
      </c>
      <c r="B259">
        <v>200</v>
      </c>
      <c r="C259">
        <v>9</v>
      </c>
      <c r="D259" s="7">
        <v>1923.0707573053071</v>
      </c>
      <c r="E259" s="8">
        <v>1923.0707573053071</v>
      </c>
      <c r="F259" s="3">
        <f>($D$226-D259)/$D$226</f>
        <v>0.10429084056486676</v>
      </c>
      <c r="G259" s="5">
        <v>129.01116871833801</v>
      </c>
      <c r="H259" s="3">
        <v>0.5747858333375877</v>
      </c>
      <c r="I259">
        <v>1</v>
      </c>
      <c r="J259" s="5">
        <v>0.31007830011783449</v>
      </c>
      <c r="K259" s="5">
        <v>56.094009337251819</v>
      </c>
      <c r="M259" s="5">
        <f>AVERAGE(K255:K265)</f>
        <v>56.329212894796704</v>
      </c>
      <c r="N259" s="9" t="s">
        <v>16</v>
      </c>
    </row>
    <row r="260" spans="1:14" x14ac:dyDescent="0.35">
      <c r="A260" t="s">
        <v>12</v>
      </c>
      <c r="B260">
        <v>200</v>
      </c>
      <c r="C260">
        <v>10</v>
      </c>
      <c r="D260" s="7">
        <v>1960.800269819809</v>
      </c>
      <c r="E260" s="8">
        <v>1960.800269819809</v>
      </c>
      <c r="F260" s="3">
        <f>($D$227-D260)/$D$227</f>
        <v>7.2622292428207558E-2</v>
      </c>
      <c r="G260" s="5">
        <v>110.0107560157776</v>
      </c>
      <c r="H260" s="3">
        <v>0.60691159102382541</v>
      </c>
      <c r="I260">
        <v>1</v>
      </c>
      <c r="J260" s="5">
        <v>0.30728107065600702</v>
      </c>
      <c r="K260" s="5">
        <v>56.264663521297642</v>
      </c>
      <c r="M260" s="5">
        <f>AVERAGE(G255:G265)</f>
        <v>118.32202989404851</v>
      </c>
      <c r="N260" s="10" t="s">
        <v>6</v>
      </c>
    </row>
    <row r="261" spans="1:14" x14ac:dyDescent="0.35">
      <c r="A261" t="s">
        <v>12</v>
      </c>
      <c r="B261">
        <v>200</v>
      </c>
      <c r="C261">
        <v>11</v>
      </c>
      <c r="D261" s="7">
        <v>2040.16672385221</v>
      </c>
      <c r="E261" s="8">
        <v>2040.16672385221</v>
      </c>
      <c r="F261" s="3">
        <f>($D$228-D261)/$D$228</f>
        <v>4.7546659102795034E-2</v>
      </c>
      <c r="G261" s="5">
        <v>112.01342797279359</v>
      </c>
      <c r="H261" s="3">
        <v>0.6646979744124446</v>
      </c>
      <c r="I261">
        <v>1</v>
      </c>
      <c r="J261" s="5">
        <v>0.30694128905362877</v>
      </c>
      <c r="K261" s="5">
        <v>56.432108590463493</v>
      </c>
    </row>
    <row r="262" spans="1:14" x14ac:dyDescent="0.35">
      <c r="A262" t="s">
        <v>12</v>
      </c>
      <c r="B262">
        <v>200</v>
      </c>
      <c r="C262">
        <v>12</v>
      </c>
      <c r="D262" s="7">
        <v>1952.722419444691</v>
      </c>
      <c r="E262" s="8">
        <v>1952.722419444691</v>
      </c>
      <c r="F262" s="3">
        <f>($D$229-D262)/$D$229</f>
        <v>0.10146439643887487</v>
      </c>
      <c r="G262" s="5">
        <v>110.6943142414093</v>
      </c>
      <c r="H262" s="3">
        <v>0.6178677393127413</v>
      </c>
      <c r="I262">
        <v>0.99999999999999978</v>
      </c>
      <c r="J262" s="5">
        <v>0.34431334970179722</v>
      </c>
      <c r="K262" s="5">
        <v>56.101176677944451</v>
      </c>
    </row>
    <row r="263" spans="1:14" x14ac:dyDescent="0.35">
      <c r="A263" t="s">
        <v>12</v>
      </c>
      <c r="B263">
        <v>200</v>
      </c>
      <c r="C263">
        <v>13</v>
      </c>
      <c r="D263" s="7">
        <v>2026.8305546825541</v>
      </c>
      <c r="E263" s="8">
        <v>2026.8305546825541</v>
      </c>
      <c r="F263" s="3">
        <f>($D$230-D263)/$D$230</f>
        <v>5.6350167593158952E-2</v>
      </c>
      <c r="G263" s="5">
        <v>124.66307997703549</v>
      </c>
      <c r="H263" s="3">
        <v>0.5735683768404366</v>
      </c>
      <c r="I263">
        <v>1</v>
      </c>
      <c r="J263" s="5">
        <v>0.27459856930434029</v>
      </c>
      <c r="K263" s="5">
        <v>56.334363632643111</v>
      </c>
    </row>
    <row r="264" spans="1:14" x14ac:dyDescent="0.35">
      <c r="A264" t="s">
        <v>12</v>
      </c>
      <c r="B264">
        <v>200</v>
      </c>
      <c r="C264">
        <v>14</v>
      </c>
      <c r="D264" s="7">
        <v>1922.7005641606349</v>
      </c>
      <c r="E264" s="8">
        <v>1922.7005641606349</v>
      </c>
      <c r="F264" s="3">
        <f>($D$231-D264)/$D$231</f>
        <v>7.9273684934555361E-2</v>
      </c>
      <c r="G264" s="5">
        <v>114.56711935997011</v>
      </c>
      <c r="H264" s="3">
        <v>0.62974468775452486</v>
      </c>
      <c r="I264">
        <v>1</v>
      </c>
      <c r="J264" s="5">
        <v>0.3217700909548416</v>
      </c>
      <c r="K264" s="5">
        <v>56.417188521809109</v>
      </c>
    </row>
    <row r="265" spans="1:14" x14ac:dyDescent="0.35">
      <c r="A265" t="s">
        <v>12</v>
      </c>
      <c r="B265">
        <v>200</v>
      </c>
      <c r="C265">
        <v>15</v>
      </c>
      <c r="D265" s="7">
        <v>1881.7160795727359</v>
      </c>
      <c r="E265" s="8">
        <v>1881.7160795727359</v>
      </c>
      <c r="F265" s="3">
        <f>($D$232-D265)/$D$232</f>
        <v>0.20508832045812442</v>
      </c>
      <c r="G265" s="5">
        <v>119.0527877807617</v>
      </c>
      <c r="H265" s="3">
        <v>0.50281934904618597</v>
      </c>
      <c r="I265">
        <v>1</v>
      </c>
      <c r="J265" s="5">
        <v>0.29589036342180658</v>
      </c>
      <c r="K265" s="5">
        <v>56.470819694127357</v>
      </c>
    </row>
    <row r="266" spans="1:14" s="11" customFormat="1" x14ac:dyDescent="0.35">
      <c r="A266" s="11" t="s">
        <v>12</v>
      </c>
      <c r="B266" s="11">
        <v>200</v>
      </c>
      <c r="C266" s="11">
        <v>5</v>
      </c>
      <c r="D266" s="12">
        <v>2007.0074905370541</v>
      </c>
      <c r="E266" s="13">
        <v>2007.0074905370541</v>
      </c>
      <c r="F266" s="14">
        <f>($D$222-D266)/$D$222</f>
        <v>8.5788243003877329E-2</v>
      </c>
      <c r="G266" s="15">
        <v>129.98322343826291</v>
      </c>
      <c r="H266" s="14">
        <v>0.44446401519647588</v>
      </c>
      <c r="I266" s="11">
        <v>1</v>
      </c>
      <c r="J266" s="15">
        <v>0.23798024947535901</v>
      </c>
      <c r="K266" s="15">
        <v>55.871421139464083</v>
      </c>
      <c r="M266" s="14">
        <f>AVERAGE(F266:F276)</f>
        <v>0.1281399508676517</v>
      </c>
      <c r="N266" s="16" t="s">
        <v>5</v>
      </c>
    </row>
    <row r="267" spans="1:14" x14ac:dyDescent="0.35">
      <c r="A267" t="s">
        <v>12</v>
      </c>
      <c r="B267">
        <v>200</v>
      </c>
      <c r="C267">
        <v>6</v>
      </c>
      <c r="D267" s="7">
        <v>1759.5837535975611</v>
      </c>
      <c r="E267" s="8">
        <v>1759.5837535975611</v>
      </c>
      <c r="F267" s="3">
        <f>($D$223-D267)/$D$223</f>
        <v>0.17116721592619372</v>
      </c>
      <c r="G267" s="5">
        <v>130.78201794624329</v>
      </c>
      <c r="H267" s="3">
        <v>0.31821913998791629</v>
      </c>
      <c r="I267">
        <v>1</v>
      </c>
      <c r="J267" s="5">
        <v>0.32083992398820488</v>
      </c>
      <c r="K267" s="5">
        <v>55.792771416298287</v>
      </c>
      <c r="M267" s="3">
        <f>AVERAGE(H266:H276)</f>
        <v>0.39989458255326954</v>
      </c>
      <c r="N267" s="9" t="s">
        <v>13</v>
      </c>
    </row>
    <row r="268" spans="1:14" x14ac:dyDescent="0.35">
      <c r="A268" t="s">
        <v>12</v>
      </c>
      <c r="B268">
        <v>200</v>
      </c>
      <c r="C268">
        <v>7</v>
      </c>
      <c r="D268" s="7">
        <v>1983.900933531344</v>
      </c>
      <c r="E268" s="8">
        <v>1983.900933531344</v>
      </c>
      <c r="F268" s="3">
        <f>($D$224-D268)/$D$224</f>
        <v>0.10120159139480597</v>
      </c>
      <c r="G268" s="5">
        <v>153.5685467720032</v>
      </c>
      <c r="H268" s="3">
        <v>0.38500799665575652</v>
      </c>
      <c r="I268">
        <v>1</v>
      </c>
      <c r="J268" s="5">
        <v>0.25642299928907641</v>
      </c>
      <c r="K268" s="5">
        <v>55.755671247478219</v>
      </c>
      <c r="M268">
        <f>AVERAGE(I266:I276)</f>
        <v>1</v>
      </c>
      <c r="N268" s="9" t="s">
        <v>14</v>
      </c>
    </row>
    <row r="269" spans="1:14" x14ac:dyDescent="0.35">
      <c r="A269" t="s">
        <v>12</v>
      </c>
      <c r="B269">
        <v>200</v>
      </c>
      <c r="C269">
        <v>8</v>
      </c>
      <c r="D269" s="7">
        <v>1817.888058942033</v>
      </c>
      <c r="E269" s="8">
        <v>1817.888058942033</v>
      </c>
      <c r="F269" s="3">
        <f>($D$225-D269)/$D$225</f>
        <v>0.13221914129118423</v>
      </c>
      <c r="G269" s="5">
        <v>133.82946610450739</v>
      </c>
      <c r="H269" s="3">
        <v>0.29688305588190322</v>
      </c>
      <c r="I269">
        <v>0.99999999999999989</v>
      </c>
      <c r="J269" s="5">
        <v>0.30851480782161628</v>
      </c>
      <c r="K269" s="5">
        <v>55.99327138693036</v>
      </c>
      <c r="M269" s="5">
        <f>AVERAGE(J266:J276)</f>
        <v>0.29529719656364661</v>
      </c>
      <c r="N269" s="9" t="s">
        <v>15</v>
      </c>
    </row>
    <row r="270" spans="1:14" x14ac:dyDescent="0.35">
      <c r="A270" t="s">
        <v>12</v>
      </c>
      <c r="B270">
        <v>200</v>
      </c>
      <c r="C270">
        <v>9</v>
      </c>
      <c r="D270" s="7">
        <v>1874.8033042834129</v>
      </c>
      <c r="E270" s="8">
        <v>1874.8033042834129</v>
      </c>
      <c r="F270" s="3">
        <f>($D$226-D270)/$D$226</f>
        <v>0.12677238452786502</v>
      </c>
      <c r="G270" s="5">
        <v>147.9189786911011</v>
      </c>
      <c r="H270" s="3">
        <v>0.35307260408538349</v>
      </c>
      <c r="I270">
        <v>1</v>
      </c>
      <c r="J270" s="5">
        <v>0.30358277047831878</v>
      </c>
      <c r="K270" s="5">
        <v>56.241361609988537</v>
      </c>
      <c r="M270" s="5">
        <f>AVERAGE(K266:K276)</f>
        <v>56.077425598542938</v>
      </c>
      <c r="N270" s="9" t="s">
        <v>16</v>
      </c>
    </row>
    <row r="271" spans="1:14" x14ac:dyDescent="0.35">
      <c r="A271" t="s">
        <v>12</v>
      </c>
      <c r="B271">
        <v>200</v>
      </c>
      <c r="C271">
        <v>10</v>
      </c>
      <c r="D271" s="7">
        <v>1933.5857338446631</v>
      </c>
      <c r="E271" s="8">
        <v>1933.5857338446631</v>
      </c>
      <c r="F271" s="3">
        <f>($D$227-D271)/$D$227</f>
        <v>8.5493646218657751E-2</v>
      </c>
      <c r="G271" s="5">
        <v>155.54412746429441</v>
      </c>
      <c r="H271" s="3">
        <v>0.54201298029918721</v>
      </c>
      <c r="I271">
        <v>1</v>
      </c>
      <c r="J271" s="5">
        <v>0.30298609658222531</v>
      </c>
      <c r="K271" s="5">
        <v>56.368575366592289</v>
      </c>
      <c r="M271" s="5">
        <f>AVERAGE(G266:G276)</f>
        <v>142.70040744001216</v>
      </c>
      <c r="N271" s="10" t="s">
        <v>6</v>
      </c>
    </row>
    <row r="272" spans="1:14" x14ac:dyDescent="0.35">
      <c r="A272" t="s">
        <v>12</v>
      </c>
      <c r="B272">
        <v>200</v>
      </c>
      <c r="C272">
        <v>11</v>
      </c>
      <c r="D272" s="7">
        <v>1965.1039388152769</v>
      </c>
      <c r="E272" s="8">
        <v>1965.1039388152769</v>
      </c>
      <c r="F272" s="3">
        <f>($D$228-D272)/$D$228</f>
        <v>8.2589775701855231E-2</v>
      </c>
      <c r="G272" s="5">
        <v>157.98009157180789</v>
      </c>
      <c r="H272" s="3">
        <v>0.56153425771409959</v>
      </c>
      <c r="I272">
        <v>1</v>
      </c>
      <c r="J272" s="5">
        <v>0.29605937530988502</v>
      </c>
      <c r="K272" s="5">
        <v>56.199975470869028</v>
      </c>
    </row>
    <row r="273" spans="1:11" x14ac:dyDescent="0.35">
      <c r="A273" t="s">
        <v>12</v>
      </c>
      <c r="B273">
        <v>200</v>
      </c>
      <c r="C273">
        <v>12</v>
      </c>
      <c r="D273" s="7">
        <v>1885.3560977658681</v>
      </c>
      <c r="E273" s="8">
        <v>1885.3560977658681</v>
      </c>
      <c r="F273" s="3">
        <f>($D$229-D273)/$D$229</f>
        <v>0.13246267755995078</v>
      </c>
      <c r="G273" s="5">
        <v>127.576000213623</v>
      </c>
      <c r="H273" s="3">
        <v>0.44902044060885948</v>
      </c>
      <c r="I273">
        <v>0.99999999999999989</v>
      </c>
      <c r="J273" s="5">
        <v>0.35161217371838371</v>
      </c>
      <c r="K273" s="5">
        <v>56.148956288305783</v>
      </c>
    </row>
    <row r="274" spans="1:11" x14ac:dyDescent="0.35">
      <c r="A274" t="s">
        <v>12</v>
      </c>
      <c r="B274">
        <v>200</v>
      </c>
      <c r="C274">
        <v>13</v>
      </c>
      <c r="D274" s="7">
        <v>1943.279541668476</v>
      </c>
      <c r="E274" s="8">
        <v>1943.279541668476</v>
      </c>
      <c r="F274" s="3">
        <f>($D$230-D274)/$D$230</f>
        <v>9.5249768374293359E-2</v>
      </c>
      <c r="G274" s="5">
        <v>128.49440455436709</v>
      </c>
      <c r="H274" s="3">
        <v>0.40726958711977268</v>
      </c>
      <c r="I274">
        <v>1</v>
      </c>
      <c r="J274" s="5">
        <v>0.27407883749973472</v>
      </c>
      <c r="K274" s="5">
        <v>56.194029547750503</v>
      </c>
    </row>
    <row r="275" spans="1:11" x14ac:dyDescent="0.35">
      <c r="A275" t="s">
        <v>12</v>
      </c>
      <c r="B275">
        <v>200</v>
      </c>
      <c r="C275">
        <v>14</v>
      </c>
      <c r="D275" s="7">
        <v>1760.7883539014761</v>
      </c>
      <c r="E275" s="8">
        <v>1760.7883539014761</v>
      </c>
      <c r="F275" s="3">
        <f>($D$231-D275)/$D$231</f>
        <v>0.15680881208582717</v>
      </c>
      <c r="G275" s="5">
        <v>135.31315946578979</v>
      </c>
      <c r="H275" s="3">
        <v>0.35230976040422368</v>
      </c>
      <c r="I275">
        <v>1</v>
      </c>
      <c r="J275" s="5">
        <v>0.31672076350394163</v>
      </c>
      <c r="K275" s="5">
        <v>55.997618059052819</v>
      </c>
    </row>
    <row r="276" spans="1:11" x14ac:dyDescent="0.35">
      <c r="A276" t="s">
        <v>12</v>
      </c>
      <c r="B276">
        <v>200</v>
      </c>
      <c r="C276">
        <v>15</v>
      </c>
      <c r="D276" s="7">
        <v>1799.579200657146</v>
      </c>
      <c r="E276" s="8">
        <v>1799.579200657146</v>
      </c>
      <c r="F276" s="3">
        <f>($D$232-D276)/$D$232</f>
        <v>0.23978620345965801</v>
      </c>
      <c r="G276" s="5">
        <v>168.71446561813349</v>
      </c>
      <c r="H276" s="3">
        <v>0.28904657013238638</v>
      </c>
      <c r="I276">
        <v>1</v>
      </c>
      <c r="J276" s="5">
        <v>0.27947116453336718</v>
      </c>
      <c r="K276" s="5">
        <v>56.288030051242359</v>
      </c>
    </row>
    <row r="277" spans="1:11" s="11" customFormat="1" x14ac:dyDescent="0.35">
      <c r="D277" s="12"/>
      <c r="E277" s="13"/>
      <c r="G277" s="15"/>
      <c r="H277" s="14"/>
      <c r="J277" s="15"/>
      <c r="K277" s="1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9210-5AA6-4049-8F8F-B75724F5850A}">
  <dimension ref="A1:N277"/>
  <sheetViews>
    <sheetView tabSelected="1" topLeftCell="A82" zoomScale="85" zoomScaleNormal="85" workbookViewId="0">
      <selection activeCell="F264" sqref="F264"/>
    </sheetView>
  </sheetViews>
  <sheetFormatPr baseColWidth="10" defaultColWidth="8.7265625" defaultRowHeight="14.5" x14ac:dyDescent="0.35"/>
  <cols>
    <col min="1" max="1" width="8.6328125" bestFit="1" customWidth="1"/>
    <col min="2" max="2" width="17.08984375" bestFit="1" customWidth="1"/>
    <col min="3" max="3" width="5.6328125" customWidth="1"/>
    <col min="4" max="4" width="11.81640625" style="7" bestFit="1" customWidth="1"/>
    <col min="5" max="5" width="11.81640625" style="8" bestFit="1" customWidth="1"/>
    <col min="6" max="6" width="7.7265625" bestFit="1" customWidth="1"/>
    <col min="7" max="7" width="11.81640625" style="5" bestFit="1" customWidth="1"/>
    <col min="8" max="8" width="11.81640625" style="3" bestFit="1" customWidth="1"/>
    <col min="9" max="9" width="12.90625" bestFit="1" customWidth="1"/>
    <col min="10" max="10" width="18.81640625" style="5" bestFit="1" customWidth="1"/>
    <col min="11" max="11" width="16.453125" style="5" bestFit="1" customWidth="1"/>
  </cols>
  <sheetData>
    <row r="1" spans="1:14" x14ac:dyDescent="0.35">
      <c r="A1" s="1" t="s">
        <v>0</v>
      </c>
      <c r="B1" s="1" t="s">
        <v>1</v>
      </c>
      <c r="C1" s="1" t="s">
        <v>17</v>
      </c>
      <c r="D1" s="6" t="s">
        <v>3</v>
      </c>
      <c r="E1" s="6" t="s">
        <v>4</v>
      </c>
      <c r="F1" s="1" t="s">
        <v>5</v>
      </c>
      <c r="G1" s="4" t="s">
        <v>6</v>
      </c>
      <c r="H1" s="2" t="s">
        <v>7</v>
      </c>
      <c r="I1" s="1" t="s">
        <v>8</v>
      </c>
      <c r="J1" s="4" t="s">
        <v>9</v>
      </c>
      <c r="K1" s="4" t="s">
        <v>10</v>
      </c>
    </row>
    <row r="2" spans="1:14" x14ac:dyDescent="0.35">
      <c r="A2" t="s">
        <v>11</v>
      </c>
      <c r="B2">
        <v>32</v>
      </c>
      <c r="C2">
        <v>1</v>
      </c>
      <c r="D2" s="7">
        <v>2117.584776232231</v>
      </c>
      <c r="E2" s="8">
        <v>2117.584776232231</v>
      </c>
      <c r="F2">
        <v>0</v>
      </c>
      <c r="G2" s="5">
        <v>62.523000001907349</v>
      </c>
      <c r="H2" s="3">
        <v>0.38804305435656428</v>
      </c>
      <c r="I2">
        <v>0.99999999999999978</v>
      </c>
      <c r="J2" s="5">
        <v>0.26612556711486568</v>
      </c>
      <c r="K2" s="5">
        <v>56.421129910915411</v>
      </c>
    </row>
    <row r="3" spans="1:14" x14ac:dyDescent="0.35">
      <c r="A3" t="s">
        <v>11</v>
      </c>
      <c r="B3">
        <v>32</v>
      </c>
      <c r="C3">
        <v>2</v>
      </c>
      <c r="D3" s="7">
        <v>2119.0561158968021</v>
      </c>
      <c r="E3" s="8">
        <v>2119.0561158968021</v>
      </c>
      <c r="F3">
        <v>0</v>
      </c>
      <c r="G3" s="5">
        <v>58.853999853134162</v>
      </c>
      <c r="H3" s="3">
        <v>0.3298658488094568</v>
      </c>
      <c r="I3">
        <v>0.99999999999999978</v>
      </c>
      <c r="J3" s="5">
        <v>0.28572585641512138</v>
      </c>
      <c r="K3" s="5">
        <v>56.273416208332833</v>
      </c>
    </row>
    <row r="4" spans="1:14" x14ac:dyDescent="0.35">
      <c r="A4" t="s">
        <v>11</v>
      </c>
      <c r="B4">
        <v>32</v>
      </c>
      <c r="C4">
        <v>3</v>
      </c>
      <c r="D4" s="7">
        <v>2082.5192840540212</v>
      </c>
      <c r="E4" s="8">
        <v>2082.5192840540212</v>
      </c>
      <c r="F4">
        <v>0</v>
      </c>
      <c r="G4" s="5">
        <v>55.017999887466431</v>
      </c>
      <c r="H4" s="3">
        <v>0.2815708757068231</v>
      </c>
      <c r="I4">
        <v>0.99999999999999978</v>
      </c>
      <c r="J4" s="5">
        <v>0.26712682579484759</v>
      </c>
      <c r="K4" s="5">
        <v>56.294145399648819</v>
      </c>
    </row>
    <row r="5" spans="1:14" x14ac:dyDescent="0.35">
      <c r="A5" t="s">
        <v>11</v>
      </c>
      <c r="B5">
        <v>32</v>
      </c>
      <c r="C5">
        <v>4</v>
      </c>
      <c r="D5" s="7">
        <v>2138.4864368277349</v>
      </c>
      <c r="E5" s="8">
        <v>2138.4864368277349</v>
      </c>
      <c r="F5">
        <v>0</v>
      </c>
      <c r="G5" s="5">
        <v>52.881999969482422</v>
      </c>
      <c r="H5" s="3">
        <v>0.26343085123137122</v>
      </c>
      <c r="I5">
        <v>1</v>
      </c>
      <c r="J5" s="5">
        <v>0.2301990845652325</v>
      </c>
      <c r="K5" s="5">
        <v>56.395345885773253</v>
      </c>
    </row>
    <row r="6" spans="1:14" x14ac:dyDescent="0.35">
      <c r="A6" t="s">
        <v>11</v>
      </c>
      <c r="B6">
        <v>32</v>
      </c>
      <c r="C6">
        <v>5</v>
      </c>
      <c r="D6" s="7">
        <v>2105.1617148017099</v>
      </c>
      <c r="E6" s="8">
        <v>2105.1617148017099</v>
      </c>
      <c r="F6">
        <v>0</v>
      </c>
      <c r="G6" s="5">
        <v>61.449000120162957</v>
      </c>
      <c r="H6" s="3">
        <v>0.25801954644768671</v>
      </c>
      <c r="I6">
        <v>1</v>
      </c>
      <c r="J6" s="5">
        <v>0.24138970281931649</v>
      </c>
      <c r="K6" s="5">
        <v>56.428058425508219</v>
      </c>
    </row>
    <row r="7" spans="1:14" x14ac:dyDescent="0.35">
      <c r="A7" t="s">
        <v>11</v>
      </c>
      <c r="B7">
        <v>32</v>
      </c>
      <c r="C7">
        <v>6</v>
      </c>
      <c r="D7" s="7">
        <v>2056.4185611631669</v>
      </c>
      <c r="E7" s="8">
        <v>2056.4185611631669</v>
      </c>
      <c r="F7">
        <v>0</v>
      </c>
      <c r="G7" s="5">
        <v>65.071000099182129</v>
      </c>
      <c r="H7" s="3">
        <v>0.28606202359342431</v>
      </c>
      <c r="I7">
        <v>1</v>
      </c>
      <c r="J7" s="5">
        <v>0.25463003262601402</v>
      </c>
      <c r="K7" s="5">
        <v>56.640446919231778</v>
      </c>
    </row>
    <row r="8" spans="1:14" x14ac:dyDescent="0.35">
      <c r="A8" t="s">
        <v>11</v>
      </c>
      <c r="B8">
        <v>32</v>
      </c>
      <c r="C8">
        <v>7</v>
      </c>
      <c r="D8" s="7">
        <v>2279.7480347044898</v>
      </c>
      <c r="E8" s="8">
        <v>2279.7480347044898</v>
      </c>
      <c r="F8">
        <v>0</v>
      </c>
      <c r="G8" s="5">
        <v>64.447000026702881</v>
      </c>
      <c r="H8" s="3">
        <v>0.40215920972149882</v>
      </c>
      <c r="I8">
        <v>0.99999999999999978</v>
      </c>
      <c r="J8" s="5">
        <v>0.2549504363623567</v>
      </c>
      <c r="K8" s="5">
        <v>56.413460234358951</v>
      </c>
    </row>
    <row r="9" spans="1:14" x14ac:dyDescent="0.35">
      <c r="A9" t="s">
        <v>11</v>
      </c>
      <c r="B9">
        <v>32</v>
      </c>
      <c r="C9">
        <v>8</v>
      </c>
      <c r="D9" s="7">
        <v>2121.1824056699379</v>
      </c>
      <c r="E9" s="8">
        <v>2121.1824056699379</v>
      </c>
      <c r="F9">
        <v>0</v>
      </c>
      <c r="G9" s="5">
        <v>56.52400016784668</v>
      </c>
      <c r="H9" s="3">
        <v>0.37715678110785422</v>
      </c>
      <c r="I9">
        <v>1</v>
      </c>
      <c r="J9" s="5">
        <v>0.26533638143655119</v>
      </c>
      <c r="K9" s="5">
        <v>56.436292278722071</v>
      </c>
    </row>
    <row r="10" spans="1:14" x14ac:dyDescent="0.35">
      <c r="A10" t="s">
        <v>11</v>
      </c>
      <c r="B10">
        <v>32</v>
      </c>
      <c r="C10">
        <v>9</v>
      </c>
      <c r="D10" s="7">
        <v>1987.2582443425749</v>
      </c>
      <c r="E10" s="8">
        <v>1987.2582443425749</v>
      </c>
      <c r="F10">
        <v>0</v>
      </c>
      <c r="G10" s="5">
        <v>59.41700005531311</v>
      </c>
      <c r="H10" s="3">
        <v>0.25019131111053838</v>
      </c>
      <c r="I10">
        <v>0.99999999999999978</v>
      </c>
      <c r="J10" s="5">
        <v>0.29214118764774849</v>
      </c>
      <c r="K10" s="5">
        <v>56.52644664021939</v>
      </c>
    </row>
    <row r="11" spans="1:14" x14ac:dyDescent="0.35">
      <c r="A11" t="s">
        <v>11</v>
      </c>
      <c r="B11">
        <v>32</v>
      </c>
      <c r="C11">
        <v>10</v>
      </c>
      <c r="D11" s="7">
        <v>2046.8042136152851</v>
      </c>
      <c r="E11" s="8">
        <v>2046.8042136152851</v>
      </c>
      <c r="F11">
        <v>0</v>
      </c>
      <c r="G11" s="5">
        <v>61.817999839782708</v>
      </c>
      <c r="H11" s="3">
        <v>0.2638168466101008</v>
      </c>
      <c r="I11">
        <v>1</v>
      </c>
      <c r="J11" s="5">
        <v>0.27143613678300149</v>
      </c>
      <c r="K11" s="5">
        <v>56.522627247442429</v>
      </c>
    </row>
    <row r="12" spans="1:14" x14ac:dyDescent="0.35">
      <c r="A12" t="s">
        <v>11</v>
      </c>
      <c r="B12">
        <v>32</v>
      </c>
      <c r="C12">
        <v>11</v>
      </c>
      <c r="D12" s="7">
        <v>2184.7652745038572</v>
      </c>
      <c r="E12" s="8">
        <v>2184.7652745038572</v>
      </c>
      <c r="F12">
        <v>0</v>
      </c>
      <c r="G12" s="5">
        <v>55.046000003814697</v>
      </c>
      <c r="H12" s="3">
        <v>0.3725873420189374</v>
      </c>
      <c r="I12">
        <v>1</v>
      </c>
      <c r="J12" s="5">
        <v>0.29446899370102508</v>
      </c>
      <c r="K12" s="5">
        <v>56.469709603560069</v>
      </c>
    </row>
    <row r="13" spans="1:14" s="11" customFormat="1" x14ac:dyDescent="0.35">
      <c r="A13" s="11" t="s">
        <v>12</v>
      </c>
      <c r="B13" s="11">
        <v>32</v>
      </c>
      <c r="C13">
        <v>1</v>
      </c>
      <c r="D13" s="12">
        <v>2137.6857942353122</v>
      </c>
      <c r="E13" s="13">
        <v>2137.6857942353122</v>
      </c>
      <c r="F13" s="14">
        <f>-($D$2-D13)/$D$2</f>
        <v>9.4924265742250373E-3</v>
      </c>
      <c r="G13" s="15">
        <v>52.309608459472663</v>
      </c>
      <c r="H13" s="14">
        <v>0.6427799445234319</v>
      </c>
      <c r="I13" s="11">
        <v>1</v>
      </c>
      <c r="J13" s="15">
        <v>0.23708981558534911</v>
      </c>
      <c r="K13" s="15">
        <v>56.245074124332312</v>
      </c>
      <c r="M13" s="14">
        <f>AVERAGE(F13:F23)</f>
        <v>7.4154827687885352E-2</v>
      </c>
      <c r="N13" s="16" t="s">
        <v>5</v>
      </c>
    </row>
    <row r="14" spans="1:14" x14ac:dyDescent="0.35">
      <c r="A14" t="s">
        <v>12</v>
      </c>
      <c r="B14">
        <v>32</v>
      </c>
      <c r="C14">
        <v>2</v>
      </c>
      <c r="D14" s="7">
        <v>1927.503818620859</v>
      </c>
      <c r="E14" s="8">
        <v>1927.503818620859</v>
      </c>
      <c r="F14" s="3">
        <f>($D$3-D14)/$D$3</f>
        <v>9.0395103668539062E-2</v>
      </c>
      <c r="G14" s="5">
        <v>52.008594036102288</v>
      </c>
      <c r="H14" s="3">
        <v>0.60385958214676261</v>
      </c>
      <c r="I14">
        <v>0.99999999999999989</v>
      </c>
      <c r="J14" s="5">
        <v>0.35113604003163779</v>
      </c>
      <c r="K14" s="5">
        <v>56.375943667041277</v>
      </c>
      <c r="M14" s="3">
        <f>AVERAGE(H13:H23)</f>
        <v>0.59135941278711635</v>
      </c>
      <c r="N14" s="9" t="s">
        <v>13</v>
      </c>
    </row>
    <row r="15" spans="1:14" x14ac:dyDescent="0.35">
      <c r="A15" t="s">
        <v>12</v>
      </c>
      <c r="B15">
        <v>32</v>
      </c>
      <c r="C15">
        <v>3</v>
      </c>
      <c r="D15" s="7">
        <v>2158.7029038859869</v>
      </c>
      <c r="E15" s="8">
        <v>2158.7029038859869</v>
      </c>
      <c r="F15" s="3">
        <f>-($D$4-D15)/$D$4</f>
        <v>3.6582431872448112E-2</v>
      </c>
      <c r="G15" s="5">
        <v>54.195129632949829</v>
      </c>
      <c r="H15" s="3">
        <v>0.70187398910384924</v>
      </c>
      <c r="I15">
        <v>1</v>
      </c>
      <c r="J15" s="5">
        <v>0.28986397084858267</v>
      </c>
      <c r="K15" s="5">
        <v>56.298494784714393</v>
      </c>
      <c r="M15">
        <f>AVERAGE(I13:I23)</f>
        <v>1</v>
      </c>
      <c r="N15" s="9" t="s">
        <v>14</v>
      </c>
    </row>
    <row r="16" spans="1:14" x14ac:dyDescent="0.35">
      <c r="A16" t="s">
        <v>12</v>
      </c>
      <c r="B16">
        <v>32</v>
      </c>
      <c r="C16">
        <v>4</v>
      </c>
      <c r="D16" s="7">
        <v>1985.344857674218</v>
      </c>
      <c r="E16" s="8">
        <v>1985.344857674218</v>
      </c>
      <c r="F16" s="3">
        <f>($D$5-D16)/$D$5</f>
        <v>7.1612134880167655E-2</v>
      </c>
      <c r="G16" s="5">
        <v>53.663864374160767</v>
      </c>
      <c r="H16" s="3">
        <v>0.52773553011419261</v>
      </c>
      <c r="I16">
        <v>1</v>
      </c>
      <c r="J16" s="5">
        <v>0.3245675393002741</v>
      </c>
      <c r="K16" s="5">
        <v>56.20112167096493</v>
      </c>
      <c r="M16" s="5">
        <f>AVERAGE(J13:J23)</f>
        <v>0.2999967856989319</v>
      </c>
      <c r="N16" s="9" t="s">
        <v>15</v>
      </c>
    </row>
    <row r="17" spans="1:14" x14ac:dyDescent="0.35">
      <c r="A17" t="s">
        <v>12</v>
      </c>
      <c r="B17">
        <v>32</v>
      </c>
      <c r="C17">
        <v>5</v>
      </c>
      <c r="D17" s="7">
        <v>1840.4851266818689</v>
      </c>
      <c r="E17" s="8">
        <v>1840.4851266818689</v>
      </c>
      <c r="F17" s="3">
        <f>($D$6-D17)/$D$6</f>
        <v>0.12572743759249463</v>
      </c>
      <c r="G17" s="5">
        <v>56.82693076133728</v>
      </c>
      <c r="H17" s="3">
        <v>0.5332518031511948</v>
      </c>
      <c r="I17">
        <v>1</v>
      </c>
      <c r="J17" s="5">
        <v>0.3054547308404687</v>
      </c>
      <c r="K17" s="5">
        <v>56.072979849724817</v>
      </c>
      <c r="M17" s="5">
        <f>AVERAGE(K13:K23)</f>
        <v>56.215287174382958</v>
      </c>
      <c r="N17" s="9" t="s">
        <v>16</v>
      </c>
    </row>
    <row r="18" spans="1:14" x14ac:dyDescent="0.35">
      <c r="A18" t="s">
        <v>12</v>
      </c>
      <c r="B18">
        <v>32</v>
      </c>
      <c r="C18">
        <v>6</v>
      </c>
      <c r="D18" s="7">
        <v>1961.653538467074</v>
      </c>
      <c r="E18" s="8">
        <v>1961.653538467074</v>
      </c>
      <c r="F18" s="3">
        <f>($D$7-D18)/$D$7</f>
        <v>4.6082555607011855E-2</v>
      </c>
      <c r="G18" s="5">
        <v>50.628401041030877</v>
      </c>
      <c r="H18" s="3">
        <v>0.61442735641877222</v>
      </c>
      <c r="I18">
        <v>1</v>
      </c>
      <c r="J18" s="5">
        <v>0.30085543128203979</v>
      </c>
      <c r="K18" s="5">
        <v>56.066718790433669</v>
      </c>
      <c r="M18" s="5">
        <f>AVERAGE(G13:G23)</f>
        <v>53.33255871859464</v>
      </c>
      <c r="N18" s="10" t="s">
        <v>6</v>
      </c>
    </row>
    <row r="19" spans="1:14" x14ac:dyDescent="0.35">
      <c r="A19" t="s">
        <v>12</v>
      </c>
      <c r="B19">
        <v>32</v>
      </c>
      <c r="C19">
        <v>7</v>
      </c>
      <c r="D19" s="7">
        <v>2004.0470271665711</v>
      </c>
      <c r="E19" s="8">
        <v>2004.0470271665711</v>
      </c>
      <c r="F19" s="3">
        <f>($D$8-D19)/$D$8</f>
        <v>0.12093485917782848</v>
      </c>
      <c r="G19" s="5">
        <v>54.281020402908332</v>
      </c>
      <c r="H19" s="3">
        <v>0.63123506182444566</v>
      </c>
      <c r="I19">
        <v>1</v>
      </c>
      <c r="J19" s="5">
        <v>0.30486040630689992</v>
      </c>
      <c r="K19" s="5">
        <v>56.521482519866517</v>
      </c>
    </row>
    <row r="20" spans="1:14" x14ac:dyDescent="0.35">
      <c r="A20" t="s">
        <v>12</v>
      </c>
      <c r="B20">
        <v>32</v>
      </c>
      <c r="C20">
        <v>8</v>
      </c>
      <c r="D20" s="7">
        <v>1856.840827128013</v>
      </c>
      <c r="E20" s="8">
        <v>1856.840827128013</v>
      </c>
      <c r="F20" s="3">
        <f>($D$9-D20)/$D$9</f>
        <v>0.12461991851117458</v>
      </c>
      <c r="G20" s="5">
        <v>56.210603952407837</v>
      </c>
      <c r="H20" s="3">
        <v>0.52117445841564125</v>
      </c>
      <c r="I20">
        <v>1</v>
      </c>
      <c r="J20" s="5">
        <v>0.31313033126576711</v>
      </c>
      <c r="K20" s="5">
        <v>55.475588949723253</v>
      </c>
    </row>
    <row r="21" spans="1:14" x14ac:dyDescent="0.35">
      <c r="A21" t="s">
        <v>12</v>
      </c>
      <c r="B21">
        <v>32</v>
      </c>
      <c r="C21">
        <v>9</v>
      </c>
      <c r="D21" s="7">
        <v>1964.3517218808879</v>
      </c>
      <c r="E21" s="8">
        <v>1964.3517218808879</v>
      </c>
      <c r="F21" s="3">
        <f>($D$10-D21)/$D$10</f>
        <v>1.1526696405411043E-2</v>
      </c>
      <c r="G21" s="5">
        <v>52.950485706329353</v>
      </c>
      <c r="H21" s="3">
        <v>0.54131630073145265</v>
      </c>
      <c r="I21">
        <v>1</v>
      </c>
      <c r="J21" s="5">
        <v>0.26315561691692818</v>
      </c>
      <c r="K21" s="5">
        <v>56.180195606092617</v>
      </c>
    </row>
    <row r="22" spans="1:14" x14ac:dyDescent="0.35">
      <c r="A22" t="s">
        <v>12</v>
      </c>
      <c r="B22">
        <v>32</v>
      </c>
      <c r="C22">
        <v>10</v>
      </c>
      <c r="D22" s="7">
        <v>1874.987640208215</v>
      </c>
      <c r="E22" s="8">
        <v>1874.987640208215</v>
      </c>
      <c r="F22" s="3">
        <f>($D$11-D22)/$D$11</f>
        <v>8.3943824360019889E-2</v>
      </c>
      <c r="G22" s="5">
        <v>53.981469869613647</v>
      </c>
      <c r="H22" s="3">
        <v>0.50981847067517605</v>
      </c>
      <c r="I22">
        <v>1</v>
      </c>
      <c r="J22" s="5">
        <v>0.31969334804384958</v>
      </c>
      <c r="K22" s="5">
        <v>56.30117844324446</v>
      </c>
    </row>
    <row r="23" spans="1:14" x14ac:dyDescent="0.35">
      <c r="A23" t="s">
        <v>12</v>
      </c>
      <c r="B23">
        <v>32</v>
      </c>
      <c r="C23">
        <v>11</v>
      </c>
      <c r="D23" s="7">
        <v>1977.6807338484939</v>
      </c>
      <c r="E23" s="8">
        <v>1977.6807338484939</v>
      </c>
      <c r="F23" s="3">
        <f>($D$12-D23)/$D$12</f>
        <v>9.4785715917418426E-2</v>
      </c>
      <c r="G23" s="5">
        <v>49.602037668228149</v>
      </c>
      <c r="H23" s="3">
        <v>0.67748104355336058</v>
      </c>
      <c r="I23">
        <v>1</v>
      </c>
      <c r="J23" s="5">
        <v>0.29015741226645392</v>
      </c>
      <c r="K23" s="5">
        <v>56.629380512074171</v>
      </c>
    </row>
    <row r="24" spans="1:14" s="11" customFormat="1" x14ac:dyDescent="0.35">
      <c r="A24" s="11" t="s">
        <v>12</v>
      </c>
      <c r="B24" s="11">
        <v>32</v>
      </c>
      <c r="C24">
        <v>1</v>
      </c>
      <c r="D24" s="12">
        <v>1913.946108709509</v>
      </c>
      <c r="E24" s="13">
        <v>1913.946108709509</v>
      </c>
      <c r="F24" s="14">
        <f>($D$2-D24)/$D$2</f>
        <v>9.6165532453936289E-2</v>
      </c>
      <c r="G24" s="15">
        <v>51.387386322021477</v>
      </c>
      <c r="H24" s="14">
        <v>0.28447663375890941</v>
      </c>
      <c r="I24" s="11">
        <v>1</v>
      </c>
      <c r="J24" s="15">
        <v>0.23340983830509601</v>
      </c>
      <c r="K24" s="15">
        <v>55.204033381698743</v>
      </c>
      <c r="M24" s="14">
        <f>AVERAGE(F24:F34)</f>
        <v>0.18067041603838416</v>
      </c>
      <c r="N24" s="16" t="s">
        <v>5</v>
      </c>
    </row>
    <row r="25" spans="1:14" x14ac:dyDescent="0.35">
      <c r="A25" t="s">
        <v>12</v>
      </c>
      <c r="B25">
        <v>32</v>
      </c>
      <c r="C25">
        <v>2</v>
      </c>
      <c r="D25" s="7">
        <v>1499.251274933742</v>
      </c>
      <c r="E25" s="8">
        <v>1499.251274933742</v>
      </c>
      <c r="F25" s="3">
        <f>($D$3-D25)/$D$3</f>
        <v>0.29249099932436362</v>
      </c>
      <c r="G25" s="5">
        <v>52.456309080123901</v>
      </c>
      <c r="H25" s="3">
        <v>0.19341097271300239</v>
      </c>
      <c r="I25">
        <v>1</v>
      </c>
      <c r="J25" s="5">
        <v>0.25736556407083377</v>
      </c>
      <c r="K25" s="5">
        <v>55.791009050573457</v>
      </c>
      <c r="M25" s="3">
        <f>AVERAGE(H24:H34)</f>
        <v>0.26620788359212999</v>
      </c>
      <c r="N25" s="9" t="s">
        <v>13</v>
      </c>
    </row>
    <row r="26" spans="1:14" x14ac:dyDescent="0.35">
      <c r="A26" t="s">
        <v>12</v>
      </c>
      <c r="B26">
        <v>32</v>
      </c>
      <c r="C26">
        <v>3</v>
      </c>
      <c r="D26" s="7">
        <v>1619.657259928731</v>
      </c>
      <c r="E26" s="8">
        <v>1619.657259928731</v>
      </c>
      <c r="F26" s="3">
        <f>($D$4-D26)/$D$4</f>
        <v>0.2222606185063703</v>
      </c>
      <c r="G26" s="5">
        <v>52.286494255065918</v>
      </c>
      <c r="H26" s="3">
        <v>0.20929313423408391</v>
      </c>
      <c r="I26">
        <v>1</v>
      </c>
      <c r="J26" s="5">
        <v>0.30943513674149131</v>
      </c>
      <c r="K26" s="5">
        <v>56.164826180014643</v>
      </c>
      <c r="M26">
        <f>AVERAGE(I24:I34)</f>
        <v>1</v>
      </c>
      <c r="N26" s="9" t="s">
        <v>14</v>
      </c>
    </row>
    <row r="27" spans="1:14" x14ac:dyDescent="0.35">
      <c r="A27" t="s">
        <v>12</v>
      </c>
      <c r="B27">
        <v>32</v>
      </c>
      <c r="C27">
        <v>4</v>
      </c>
      <c r="D27" s="7">
        <v>1734.1557885596769</v>
      </c>
      <c r="E27" s="8">
        <v>1734.1557885596769</v>
      </c>
      <c r="F27" s="3">
        <f>($D$5-D27)/$D$5</f>
        <v>0.18907328159997525</v>
      </c>
      <c r="G27" s="5">
        <v>56.663535594940193</v>
      </c>
      <c r="H27" s="3">
        <v>0.31462702074453908</v>
      </c>
      <c r="I27">
        <v>1</v>
      </c>
      <c r="J27" s="5">
        <v>0.29276160965720083</v>
      </c>
      <c r="K27" s="5">
        <v>56.844329856871418</v>
      </c>
      <c r="M27" s="5">
        <f>AVERAGE(J24:J34)</f>
        <v>0.28649260219936518</v>
      </c>
      <c r="N27" s="9" t="s">
        <v>15</v>
      </c>
    </row>
    <row r="28" spans="1:14" x14ac:dyDescent="0.35">
      <c r="A28" t="s">
        <v>12</v>
      </c>
      <c r="B28">
        <v>32</v>
      </c>
      <c r="C28">
        <v>5</v>
      </c>
      <c r="D28" s="7">
        <v>1787.917144884407</v>
      </c>
      <c r="E28" s="8">
        <v>1787.917144884407</v>
      </c>
      <c r="F28" s="3">
        <f>($D$6-D28)/$D$6</f>
        <v>0.15069843218537959</v>
      </c>
      <c r="G28" s="5">
        <v>54.11471962928772</v>
      </c>
      <c r="H28" s="3">
        <v>0.29610642080552291</v>
      </c>
      <c r="I28">
        <v>1</v>
      </c>
      <c r="J28" s="5">
        <v>0.30175468148764661</v>
      </c>
      <c r="K28" s="5">
        <v>56.364306948051933</v>
      </c>
      <c r="M28" s="5">
        <f>AVERAGE(K24:K34)</f>
        <v>56.102896857413405</v>
      </c>
      <c r="N28" s="9" t="s">
        <v>16</v>
      </c>
    </row>
    <row r="29" spans="1:14" x14ac:dyDescent="0.35">
      <c r="A29" t="s">
        <v>12</v>
      </c>
      <c r="B29">
        <v>32</v>
      </c>
      <c r="C29">
        <v>6</v>
      </c>
      <c r="D29" s="7">
        <v>1598.1357960039879</v>
      </c>
      <c r="E29" s="8">
        <v>1598.1357960039879</v>
      </c>
      <c r="F29" s="3">
        <f>($D$7-D29)/$D$7</f>
        <v>0.22285480875058902</v>
      </c>
      <c r="G29" s="5">
        <v>54.134124994277947</v>
      </c>
      <c r="H29" s="3">
        <v>0.13544309520500011</v>
      </c>
      <c r="I29">
        <v>1</v>
      </c>
      <c r="J29" s="5">
        <v>0.26961870344101058</v>
      </c>
      <c r="K29" s="5">
        <v>56.112600771841578</v>
      </c>
      <c r="M29" s="5">
        <f>AVERAGE(G24:G34)</f>
        <v>54.083701220425695</v>
      </c>
      <c r="N29" s="10" t="s">
        <v>6</v>
      </c>
    </row>
    <row r="30" spans="1:14" x14ac:dyDescent="0.35">
      <c r="A30" t="s">
        <v>12</v>
      </c>
      <c r="B30">
        <v>32</v>
      </c>
      <c r="C30">
        <v>7</v>
      </c>
      <c r="D30" s="7">
        <v>1797.697493591093</v>
      </c>
      <c r="E30" s="8">
        <v>1797.697493591093</v>
      </c>
      <c r="F30" s="3">
        <f>($D$8-D30)/$D$8</f>
        <v>0.21144904339214932</v>
      </c>
      <c r="G30" s="5">
        <v>57.488458871841431</v>
      </c>
      <c r="H30" s="3">
        <v>0.27670802841177627</v>
      </c>
      <c r="I30">
        <v>1</v>
      </c>
      <c r="J30" s="5">
        <v>0.30166636677131681</v>
      </c>
      <c r="K30" s="5">
        <v>56.026322968658882</v>
      </c>
    </row>
    <row r="31" spans="1:14" x14ac:dyDescent="0.35">
      <c r="A31" t="s">
        <v>12</v>
      </c>
      <c r="B31">
        <v>32</v>
      </c>
      <c r="C31">
        <v>8</v>
      </c>
      <c r="D31" s="7">
        <v>1809.44154885685</v>
      </c>
      <c r="E31" s="8">
        <v>1809.44154885685</v>
      </c>
      <c r="F31" s="3">
        <f>($D$9-D31)/$D$9</f>
        <v>0.14696560558856328</v>
      </c>
      <c r="G31" s="5">
        <v>55.449227571487427</v>
      </c>
      <c r="H31" s="3">
        <v>0.35449848577041593</v>
      </c>
      <c r="I31">
        <v>0.99999999999999978</v>
      </c>
      <c r="J31" s="5">
        <v>0.35371561976392241</v>
      </c>
      <c r="K31" s="5">
        <v>55.932633476391239</v>
      </c>
    </row>
    <row r="32" spans="1:14" x14ac:dyDescent="0.35">
      <c r="A32" t="s">
        <v>12</v>
      </c>
      <c r="B32">
        <v>32</v>
      </c>
      <c r="C32">
        <v>9</v>
      </c>
      <c r="D32" s="7">
        <v>1911.32248631077</v>
      </c>
      <c r="E32" s="8">
        <v>1911.32248631077</v>
      </c>
      <c r="F32" s="3">
        <f>($D$10-D32)/$D$10</f>
        <v>3.8211318658751346E-2</v>
      </c>
      <c r="G32" s="5">
        <v>53.560631275177002</v>
      </c>
      <c r="H32" s="3">
        <v>0.41038719876624857</v>
      </c>
      <c r="I32">
        <v>0.99999999999999989</v>
      </c>
      <c r="J32" s="5">
        <v>0.27065785646544421</v>
      </c>
      <c r="K32" s="5">
        <v>56.195542770329311</v>
      </c>
    </row>
    <row r="33" spans="1:14" x14ac:dyDescent="0.35">
      <c r="A33" t="s">
        <v>12</v>
      </c>
      <c r="B33">
        <v>32</v>
      </c>
      <c r="C33">
        <v>10</v>
      </c>
      <c r="D33" s="7">
        <v>1675.643610585875</v>
      </c>
      <c r="E33" s="8">
        <v>1675.643610585875</v>
      </c>
      <c r="F33" s="3">
        <f>($D$11-D33)/$D$11</f>
        <v>0.18133664204932745</v>
      </c>
      <c r="G33" s="5">
        <v>55.030760049819953</v>
      </c>
      <c r="H33" s="3">
        <v>0.25749382063792481</v>
      </c>
      <c r="I33">
        <v>1</v>
      </c>
      <c r="J33" s="5">
        <v>0.29614921692501572</v>
      </c>
      <c r="K33" s="5">
        <v>56.183619445392097</v>
      </c>
    </row>
    <row r="34" spans="1:14" x14ac:dyDescent="0.35">
      <c r="A34" t="s">
        <v>12</v>
      </c>
      <c r="B34">
        <v>32</v>
      </c>
      <c r="C34">
        <v>11</v>
      </c>
      <c r="D34" s="7">
        <v>1669.4484166066579</v>
      </c>
      <c r="E34" s="8">
        <v>1669.4484166066579</v>
      </c>
      <c r="F34" s="3">
        <f>($D$12-D34)/$D$12</f>
        <v>0.23586829391282027</v>
      </c>
      <c r="G34" s="5">
        <v>52.349065780639648</v>
      </c>
      <c r="H34" s="3">
        <v>0.1958419084660068</v>
      </c>
      <c r="I34">
        <v>1</v>
      </c>
      <c r="J34" s="5">
        <v>0.26488403056403859</v>
      </c>
      <c r="K34" s="5">
        <v>56.312640581724203</v>
      </c>
    </row>
    <row r="35" spans="1:14" s="11" customFormat="1" x14ac:dyDescent="0.35">
      <c r="A35" s="11" t="s">
        <v>12</v>
      </c>
      <c r="B35" s="11">
        <v>32</v>
      </c>
      <c r="C35">
        <v>1</v>
      </c>
      <c r="D35" s="12">
        <v>1966.5186169080559</v>
      </c>
      <c r="E35" s="13">
        <v>1966.5186169080559</v>
      </c>
      <c r="F35" s="14">
        <f>($D$2-D35)/$D$2</f>
        <v>7.1338895622853657E-2</v>
      </c>
      <c r="G35" s="15">
        <v>55.566773176193237</v>
      </c>
      <c r="H35" s="14">
        <v>0.40576452758995779</v>
      </c>
      <c r="I35" s="11">
        <v>1</v>
      </c>
      <c r="J35" s="15">
        <v>0.23626193123248079</v>
      </c>
      <c r="K35" s="15">
        <v>56.15145813717438</v>
      </c>
      <c r="M35" s="14">
        <f>AVERAGE(F35:F45)</f>
        <v>0.1210424334004646</v>
      </c>
      <c r="N35" s="16" t="s">
        <v>5</v>
      </c>
    </row>
    <row r="36" spans="1:14" x14ac:dyDescent="0.35">
      <c r="A36" t="s">
        <v>12</v>
      </c>
      <c r="B36">
        <v>32</v>
      </c>
      <c r="C36">
        <v>2</v>
      </c>
      <c r="D36" s="7">
        <v>1723.4965249861821</v>
      </c>
      <c r="E36" s="8">
        <v>1723.4965249861821</v>
      </c>
      <c r="F36" s="3">
        <f>($D$3-D36)/$D$3</f>
        <v>0.18666782250040412</v>
      </c>
      <c r="G36" s="5">
        <v>58.807743072509773</v>
      </c>
      <c r="H36" s="3">
        <v>0.32943983169543029</v>
      </c>
      <c r="I36">
        <v>0.99999898379178398</v>
      </c>
      <c r="J36" s="5">
        <v>0.36456016932655327</v>
      </c>
      <c r="K36" s="5">
        <v>56.156489616094341</v>
      </c>
      <c r="M36" s="3">
        <f>AVERAGE(H35:H45)</f>
        <v>0.3757870250974929</v>
      </c>
      <c r="N36" s="9" t="s">
        <v>13</v>
      </c>
    </row>
    <row r="37" spans="1:14" x14ac:dyDescent="0.35">
      <c r="A37" t="s">
        <v>12</v>
      </c>
      <c r="B37">
        <v>32</v>
      </c>
      <c r="C37">
        <v>3</v>
      </c>
      <c r="D37" s="7">
        <v>2008.0494564508581</v>
      </c>
      <c r="E37" s="8">
        <v>2008.0494564508581</v>
      </c>
      <c r="F37" s="3">
        <f>($D$4-D37)/$D$4</f>
        <v>3.5759490043325508E-2</v>
      </c>
      <c r="G37" s="5">
        <v>54.68979024887085</v>
      </c>
      <c r="H37" s="3">
        <v>0.43308252761515792</v>
      </c>
      <c r="I37">
        <v>1</v>
      </c>
      <c r="J37" s="5">
        <v>0.28496228571417292</v>
      </c>
      <c r="K37" s="5">
        <v>56.46248492514647</v>
      </c>
      <c r="M37">
        <f>AVERAGE(I35:I45)</f>
        <v>0.99999758029273356</v>
      </c>
      <c r="N37" s="9" t="s">
        <v>14</v>
      </c>
    </row>
    <row r="38" spans="1:14" x14ac:dyDescent="0.35">
      <c r="A38" t="s">
        <v>12</v>
      </c>
      <c r="B38">
        <v>32</v>
      </c>
      <c r="C38">
        <v>4</v>
      </c>
      <c r="D38" s="7">
        <v>1893.6620088083221</v>
      </c>
      <c r="E38" s="8">
        <v>1893.6620088083221</v>
      </c>
      <c r="F38" s="3">
        <f>($D$5-D38)/$D$5</f>
        <v>0.11448491035677988</v>
      </c>
      <c r="G38" s="5">
        <v>56.055344581603997</v>
      </c>
      <c r="H38" s="3">
        <v>0.36549510779891481</v>
      </c>
      <c r="I38">
        <v>0.99999999999999989</v>
      </c>
      <c r="J38" s="5">
        <v>0.31639498359012852</v>
      </c>
      <c r="K38" s="5">
        <v>56.340399210865343</v>
      </c>
      <c r="M38" s="5">
        <f>AVERAGE(J35:J45)</f>
        <v>0.30209222635965127</v>
      </c>
      <c r="N38" s="9" t="s">
        <v>15</v>
      </c>
    </row>
    <row r="39" spans="1:14" x14ac:dyDescent="0.35">
      <c r="A39" t="s">
        <v>12</v>
      </c>
      <c r="B39">
        <v>32</v>
      </c>
      <c r="C39">
        <v>5</v>
      </c>
      <c r="D39" s="7">
        <v>1759.1334789088819</v>
      </c>
      <c r="E39" s="8">
        <v>1759.1334789088819</v>
      </c>
      <c r="F39" s="3">
        <f>($D$6-D39)/$D$6</f>
        <v>0.16437133235886403</v>
      </c>
      <c r="G39" s="5">
        <v>58.935643434524543</v>
      </c>
      <c r="H39" s="3">
        <v>0.39145489768545921</v>
      </c>
      <c r="I39">
        <v>1</v>
      </c>
      <c r="J39" s="5">
        <v>0.30911992517782161</v>
      </c>
      <c r="K39" s="5">
        <v>55.963728710091502</v>
      </c>
      <c r="M39" s="5">
        <f>AVERAGE(K35:K45)</f>
        <v>56.176978575090743</v>
      </c>
      <c r="N39" s="9" t="s">
        <v>16</v>
      </c>
    </row>
    <row r="40" spans="1:14" x14ac:dyDescent="0.35">
      <c r="A40" t="s">
        <v>12</v>
      </c>
      <c r="B40">
        <v>32</v>
      </c>
      <c r="C40">
        <v>6</v>
      </c>
      <c r="D40" s="7">
        <v>1904.4363007246809</v>
      </c>
      <c r="E40" s="8">
        <v>1904.4363007246809</v>
      </c>
      <c r="F40" s="3">
        <f>($D$7-D40)/$D$7</f>
        <v>7.390628703162487E-2</v>
      </c>
      <c r="G40" s="5">
        <v>56.917982578277588</v>
      </c>
      <c r="H40" s="3">
        <v>0.40766291161695067</v>
      </c>
      <c r="I40">
        <v>1</v>
      </c>
      <c r="J40" s="5">
        <v>0.3026283120186597</v>
      </c>
      <c r="K40" s="5">
        <v>56.169708101585201</v>
      </c>
      <c r="M40" s="5">
        <f>AVERAGE(G35:G45)</f>
        <v>57.824089245362714</v>
      </c>
      <c r="N40" s="10" t="s">
        <v>6</v>
      </c>
    </row>
    <row r="41" spans="1:14" x14ac:dyDescent="0.35">
      <c r="A41" t="s">
        <v>12</v>
      </c>
      <c r="B41">
        <v>32</v>
      </c>
      <c r="C41">
        <v>7</v>
      </c>
      <c r="D41" s="7">
        <v>1881.8306827920719</v>
      </c>
      <c r="E41" s="8">
        <v>1881.8306827920719</v>
      </c>
      <c r="F41" s="3">
        <f>($D$8-D41)/$D$8</f>
        <v>0.17454444344503955</v>
      </c>
      <c r="G41" s="5">
        <v>56.683826923370361</v>
      </c>
      <c r="H41" s="3">
        <v>0.38797401754724792</v>
      </c>
      <c r="I41">
        <v>1</v>
      </c>
      <c r="J41" s="5">
        <v>0.29896654205496809</v>
      </c>
      <c r="K41" s="5">
        <v>56.108210582710107</v>
      </c>
    </row>
    <row r="42" spans="1:14" x14ac:dyDescent="0.35">
      <c r="A42" t="s">
        <v>12</v>
      </c>
      <c r="B42">
        <v>32</v>
      </c>
      <c r="C42">
        <v>8</v>
      </c>
      <c r="D42" s="7">
        <v>1808.5160207111751</v>
      </c>
      <c r="E42" s="8">
        <v>1808.5160207111751</v>
      </c>
      <c r="F42" s="3">
        <f>($D$9-D42)/$D$9</f>
        <v>0.14740193211248737</v>
      </c>
      <c r="G42" s="5">
        <v>70.125951766967773</v>
      </c>
      <c r="H42" s="3">
        <v>0.34232263653082218</v>
      </c>
      <c r="I42">
        <v>1</v>
      </c>
      <c r="J42" s="5">
        <v>0.36586153164363561</v>
      </c>
      <c r="K42" s="5">
        <v>55.996735815363117</v>
      </c>
    </row>
    <row r="43" spans="1:14" x14ac:dyDescent="0.35">
      <c r="A43" t="s">
        <v>12</v>
      </c>
      <c r="B43">
        <v>32</v>
      </c>
      <c r="C43">
        <v>9</v>
      </c>
      <c r="D43" s="7">
        <v>1838.194324528776</v>
      </c>
      <c r="E43" s="8">
        <v>1838.194324528776</v>
      </c>
      <c r="F43" s="3">
        <f>($D$10-D43)/$D$10</f>
        <v>7.5009838423446731E-2</v>
      </c>
      <c r="G43" s="5">
        <v>54.100781440734863</v>
      </c>
      <c r="H43" s="3">
        <v>0.38654677667436937</v>
      </c>
      <c r="I43">
        <v>0.99997876201917446</v>
      </c>
      <c r="J43" s="5">
        <v>0.25983320921781972</v>
      </c>
      <c r="K43" s="5">
        <v>56.125580269974037</v>
      </c>
    </row>
    <row r="44" spans="1:14" x14ac:dyDescent="0.35">
      <c r="A44" t="s">
        <v>12</v>
      </c>
      <c r="B44">
        <v>32</v>
      </c>
      <c r="C44">
        <v>10</v>
      </c>
      <c r="D44" s="7">
        <v>1780.1092034234021</v>
      </c>
      <c r="E44" s="8">
        <v>1780.1092034234021</v>
      </c>
      <c r="F44" s="3">
        <f>($D$11-D44)/$D$11</f>
        <v>0.13029825149754687</v>
      </c>
      <c r="G44" s="5">
        <v>57.324630975723267</v>
      </c>
      <c r="H44" s="3">
        <v>0.34217762248270051</v>
      </c>
      <c r="I44">
        <v>0.99999563740911146</v>
      </c>
      <c r="J44" s="5">
        <v>0.30664247973644138</v>
      </c>
      <c r="K44" s="5">
        <v>56.201249471021228</v>
      </c>
    </row>
    <row r="45" spans="1:14" x14ac:dyDescent="0.35">
      <c r="A45" t="s">
        <v>12</v>
      </c>
      <c r="B45">
        <v>32</v>
      </c>
      <c r="C45">
        <v>11</v>
      </c>
      <c r="D45" s="7">
        <v>1840.263699488821</v>
      </c>
      <c r="E45" s="8">
        <v>1840.263699488821</v>
      </c>
      <c r="F45" s="3">
        <f>($D$12-D45)/$D$12</f>
        <v>0.15768356401273806</v>
      </c>
      <c r="G45" s="5">
        <v>56.856513500213623</v>
      </c>
      <c r="H45" s="3">
        <v>0.34173641883541162</v>
      </c>
      <c r="I45">
        <v>0.99999999999999989</v>
      </c>
      <c r="J45" s="5">
        <v>0.27778312024348228</v>
      </c>
      <c r="K45" s="5">
        <v>56.2707194859724</v>
      </c>
    </row>
    <row r="46" spans="1:14" s="11" customFormat="1" x14ac:dyDescent="0.35">
      <c r="A46" s="11" t="s">
        <v>12</v>
      </c>
      <c r="B46" s="11">
        <v>32</v>
      </c>
      <c r="C46">
        <v>1</v>
      </c>
      <c r="D46" s="12">
        <v>1723.3767948357499</v>
      </c>
      <c r="E46" s="13">
        <v>1723.3767948357499</v>
      </c>
      <c r="F46" s="14">
        <f>($D$2-D46)/$D$2</f>
        <v>0.18615924416395083</v>
      </c>
      <c r="G46" s="15">
        <v>61.190654516220093</v>
      </c>
      <c r="H46" s="14">
        <v>0.20548394873004919</v>
      </c>
      <c r="I46" s="11">
        <v>1</v>
      </c>
      <c r="J46" s="15">
        <v>0.21141346002780961</v>
      </c>
      <c r="K46" s="15">
        <v>56.081230345360282</v>
      </c>
      <c r="M46" s="14">
        <f>AVERAGE(F46:F56)</f>
        <v>0.22293129720214108</v>
      </c>
      <c r="N46" s="16" t="s">
        <v>5</v>
      </c>
    </row>
    <row r="47" spans="1:14" x14ac:dyDescent="0.35">
      <c r="A47" t="s">
        <v>12</v>
      </c>
      <c r="B47">
        <v>32</v>
      </c>
      <c r="C47">
        <v>2</v>
      </c>
      <c r="D47" s="7">
        <v>1352.4917389641089</v>
      </c>
      <c r="E47" s="8">
        <v>1352.4917389641089</v>
      </c>
      <c r="F47" s="3">
        <f>($D$3-D47)/$D$3</f>
        <v>0.36174803073031259</v>
      </c>
      <c r="G47" s="5">
        <v>63.132769584655762</v>
      </c>
      <c r="H47" s="3">
        <v>0.10312508033035871</v>
      </c>
      <c r="I47">
        <v>0.99997966969656071</v>
      </c>
      <c r="J47" s="5">
        <v>0.27820316254718902</v>
      </c>
      <c r="K47" s="5">
        <v>57.260941731469508</v>
      </c>
      <c r="M47" s="3">
        <f>AVERAGE(H46:H56)</f>
        <v>0.21796591843116103</v>
      </c>
      <c r="N47" s="9" t="s">
        <v>13</v>
      </c>
    </row>
    <row r="48" spans="1:14" x14ac:dyDescent="0.35">
      <c r="A48" t="s">
        <v>12</v>
      </c>
      <c r="B48">
        <v>32</v>
      </c>
      <c r="C48">
        <v>3</v>
      </c>
      <c r="D48" s="7">
        <v>1826.4048329508789</v>
      </c>
      <c r="E48" s="8">
        <v>1826.4048329508789</v>
      </c>
      <c r="F48" s="3">
        <f>($D$4-D48)/$D$4</f>
        <v>0.12298299135293798</v>
      </c>
      <c r="G48" s="5">
        <v>56.558303117752082</v>
      </c>
      <c r="H48" s="3">
        <v>0.28427921093924108</v>
      </c>
      <c r="I48">
        <v>1</v>
      </c>
      <c r="J48" s="5">
        <v>0.25275624859851609</v>
      </c>
      <c r="K48" s="5">
        <v>55.439970325848407</v>
      </c>
      <c r="M48">
        <f>AVERAGE(I46:I56)</f>
        <v>0.99998892910275894</v>
      </c>
      <c r="N48" s="9" t="s">
        <v>14</v>
      </c>
    </row>
    <row r="49" spans="1:14" x14ac:dyDescent="0.35">
      <c r="A49" t="s">
        <v>12</v>
      </c>
      <c r="B49">
        <v>32</v>
      </c>
      <c r="C49">
        <v>4</v>
      </c>
      <c r="D49" s="7">
        <v>1642.9442737289951</v>
      </c>
      <c r="E49" s="8">
        <v>1642.9442737289951</v>
      </c>
      <c r="F49" s="3">
        <f>($D$5-D49)/$D$5</f>
        <v>0.23172565164071604</v>
      </c>
      <c r="G49" s="5">
        <v>55.448278427124023</v>
      </c>
      <c r="H49" s="3">
        <v>0.2170796869040342</v>
      </c>
      <c r="I49">
        <v>0.99997243458631957</v>
      </c>
      <c r="J49" s="5">
        <v>0.29399227660774507</v>
      </c>
      <c r="K49" s="5">
        <v>56.977698534377417</v>
      </c>
      <c r="M49" s="5">
        <f>AVERAGE(J46:J56)</f>
        <v>0.28319910445688296</v>
      </c>
      <c r="N49" s="9" t="s">
        <v>15</v>
      </c>
    </row>
    <row r="50" spans="1:14" x14ac:dyDescent="0.35">
      <c r="A50" t="s">
        <v>12</v>
      </c>
      <c r="B50">
        <v>32</v>
      </c>
      <c r="C50">
        <v>5</v>
      </c>
      <c r="D50" s="7">
        <v>1639.148884791455</v>
      </c>
      <c r="E50" s="8">
        <v>1639.148884791455</v>
      </c>
      <c r="F50" s="3">
        <f>($D$6-D50)/$D$6</f>
        <v>0.22136676091610841</v>
      </c>
      <c r="G50" s="5">
        <v>55.621507883071899</v>
      </c>
      <c r="H50" s="3">
        <v>0.21108391360214329</v>
      </c>
      <c r="I50">
        <v>0.99998490374204518</v>
      </c>
      <c r="J50" s="5">
        <v>0.29347257726335052</v>
      </c>
      <c r="K50" s="5">
        <v>56.078239507738047</v>
      </c>
      <c r="M50" s="5">
        <f>AVERAGE(K46:K56)</f>
        <v>56.104389407496143</v>
      </c>
      <c r="N50" s="9" t="s">
        <v>16</v>
      </c>
    </row>
    <row r="51" spans="1:14" x14ac:dyDescent="0.35">
      <c r="A51" t="s">
        <v>12</v>
      </c>
      <c r="B51">
        <v>32</v>
      </c>
      <c r="C51">
        <v>6</v>
      </c>
      <c r="D51" s="7">
        <v>1522.798025991674</v>
      </c>
      <c r="E51" s="8">
        <v>1522.798025991674</v>
      </c>
      <c r="F51" s="3">
        <f>($D$7-D51)/$D$7</f>
        <v>0.25949023474562616</v>
      </c>
      <c r="G51" s="5">
        <v>60.169609069824219</v>
      </c>
      <c r="H51" s="3">
        <v>0.141346864371548</v>
      </c>
      <c r="I51">
        <v>0.99996823819630998</v>
      </c>
      <c r="J51" s="5">
        <v>0.32410504713681831</v>
      </c>
      <c r="K51" s="5">
        <v>56.529193471225447</v>
      </c>
      <c r="M51" s="5">
        <f>AVERAGE(G46:G56)</f>
        <v>58.47693133354187</v>
      </c>
      <c r="N51" s="10" t="s">
        <v>6</v>
      </c>
    </row>
    <row r="52" spans="1:14" x14ac:dyDescent="0.35">
      <c r="A52" t="s">
        <v>12</v>
      </c>
      <c r="B52">
        <v>32</v>
      </c>
      <c r="C52">
        <v>7</v>
      </c>
      <c r="D52" s="7">
        <v>1624.452791547872</v>
      </c>
      <c r="E52" s="8">
        <v>1624.452791547872</v>
      </c>
      <c r="F52" s="3">
        <f>($D$8-D52)/$D$8</f>
        <v>0.2874419598925369</v>
      </c>
      <c r="G52" s="5">
        <v>58.092599391937263</v>
      </c>
      <c r="H52" s="3">
        <v>0.18370845683439449</v>
      </c>
      <c r="I52">
        <v>1</v>
      </c>
      <c r="J52" s="5">
        <v>0.31720166139298822</v>
      </c>
      <c r="K52" s="5">
        <v>55.53377716184162</v>
      </c>
    </row>
    <row r="53" spans="1:14" x14ac:dyDescent="0.35">
      <c r="A53" t="s">
        <v>12</v>
      </c>
      <c r="B53">
        <v>32</v>
      </c>
      <c r="C53">
        <v>8</v>
      </c>
      <c r="D53" s="7">
        <v>1672.5596760939791</v>
      </c>
      <c r="E53" s="8">
        <v>1672.5596760939791</v>
      </c>
      <c r="F53" s="3">
        <f>($D$9-D53)/$D$9</f>
        <v>0.21149653531765425</v>
      </c>
      <c r="G53" s="5">
        <v>57.950175523757927</v>
      </c>
      <c r="H53" s="3">
        <v>0.29775658808144162</v>
      </c>
      <c r="I53">
        <v>0.99999834743984872</v>
      </c>
      <c r="J53" s="5">
        <v>0.33093053163437408</v>
      </c>
      <c r="K53" s="5">
        <v>55.227843054090371</v>
      </c>
    </row>
    <row r="54" spans="1:14" x14ac:dyDescent="0.35">
      <c r="A54" t="s">
        <v>12</v>
      </c>
      <c r="B54">
        <v>32</v>
      </c>
      <c r="C54">
        <v>9</v>
      </c>
      <c r="D54" s="7">
        <v>1839.3014955178401</v>
      </c>
      <c r="E54" s="8">
        <v>1839.3014955178401</v>
      </c>
      <c r="F54" s="3">
        <f>($D$10-D54)/$D$10</f>
        <v>7.4452703490321626E-2</v>
      </c>
      <c r="G54" s="5">
        <v>56.290564775466919</v>
      </c>
      <c r="H54" s="3">
        <v>0.32200083359218379</v>
      </c>
      <c r="I54">
        <v>0.99997879481091423</v>
      </c>
      <c r="J54" s="5">
        <v>0.26990282261939802</v>
      </c>
      <c r="K54" s="5">
        <v>56.321936069364668</v>
      </c>
    </row>
    <row r="55" spans="1:14" x14ac:dyDescent="0.35">
      <c r="A55" t="s">
        <v>12</v>
      </c>
      <c r="B55">
        <v>32</v>
      </c>
      <c r="C55">
        <v>10</v>
      </c>
      <c r="D55" s="7">
        <v>1649.0098669861809</v>
      </c>
      <c r="E55" s="8">
        <v>1649.0098669861809</v>
      </c>
      <c r="F55" s="3">
        <f>($D$11-D55)/$D$11</f>
        <v>0.19434899732128125</v>
      </c>
      <c r="G55" s="5">
        <v>60.893797159194953</v>
      </c>
      <c r="H55" s="3">
        <v>0.27083741852552862</v>
      </c>
      <c r="I55">
        <v>0.99999583165834971</v>
      </c>
      <c r="J55" s="5">
        <v>0.29052091494776783</v>
      </c>
      <c r="K55" s="5">
        <v>55.875746179241702</v>
      </c>
    </row>
    <row r="56" spans="1:14" x14ac:dyDescent="0.35">
      <c r="A56" t="s">
        <v>12</v>
      </c>
      <c r="B56">
        <v>32</v>
      </c>
      <c r="C56">
        <v>11</v>
      </c>
      <c r="D56" s="7">
        <v>1527.0828503523101</v>
      </c>
      <c r="E56" s="8">
        <v>1527.0828503523101</v>
      </c>
      <c r="F56" s="3">
        <f>($D$12-D56)/$D$12</f>
        <v>0.3010311596521057</v>
      </c>
      <c r="G56" s="5">
        <v>57.897985219955437</v>
      </c>
      <c r="H56" s="3">
        <v>0.16092310083184799</v>
      </c>
      <c r="I56">
        <v>1</v>
      </c>
      <c r="J56" s="5">
        <v>0.25269144624975609</v>
      </c>
      <c r="K56" s="5">
        <v>55.821707101900152</v>
      </c>
    </row>
    <row r="57" spans="1:14" s="11" customFormat="1" x14ac:dyDescent="0.35">
      <c r="A57" s="11" t="s">
        <v>11</v>
      </c>
      <c r="B57" s="11">
        <v>128</v>
      </c>
      <c r="C57">
        <v>1</v>
      </c>
      <c r="D57" s="5">
        <v>2117.584776232231</v>
      </c>
      <c r="E57" s="5">
        <v>2117.584776232231</v>
      </c>
      <c r="F57">
        <v>0</v>
      </c>
      <c r="G57" s="5">
        <v>62.523000001907349</v>
      </c>
      <c r="H57" s="3">
        <v>0.38804305435656428</v>
      </c>
      <c r="I57">
        <v>0.99999999999999978</v>
      </c>
      <c r="J57" s="5">
        <v>0.26612556711486568</v>
      </c>
      <c r="K57" s="5">
        <v>56.421129910915411</v>
      </c>
    </row>
    <row r="58" spans="1:14" x14ac:dyDescent="0.35">
      <c r="A58" t="s">
        <v>11</v>
      </c>
      <c r="B58">
        <v>128</v>
      </c>
      <c r="C58">
        <v>2</v>
      </c>
      <c r="D58" s="5">
        <v>2119.0561158968021</v>
      </c>
      <c r="E58" s="5">
        <v>2119.0561158968021</v>
      </c>
      <c r="F58">
        <v>0</v>
      </c>
      <c r="G58" s="5">
        <v>58.853999853134162</v>
      </c>
      <c r="H58" s="3">
        <v>0.3298658488094568</v>
      </c>
      <c r="I58">
        <v>0.99999999999999978</v>
      </c>
      <c r="J58" s="5">
        <v>0.28572585641512138</v>
      </c>
      <c r="K58" s="5">
        <v>56.273416208332833</v>
      </c>
    </row>
    <row r="59" spans="1:14" x14ac:dyDescent="0.35">
      <c r="A59" t="s">
        <v>11</v>
      </c>
      <c r="B59">
        <v>128</v>
      </c>
      <c r="C59">
        <v>3</v>
      </c>
      <c r="D59" s="5">
        <v>2082.5192840540212</v>
      </c>
      <c r="E59" s="5">
        <v>2082.5192840540212</v>
      </c>
      <c r="F59">
        <v>0</v>
      </c>
      <c r="G59" s="5">
        <v>55.017999887466431</v>
      </c>
      <c r="H59" s="3">
        <v>0.2815708757068231</v>
      </c>
      <c r="I59">
        <v>0.99999999999999978</v>
      </c>
      <c r="J59" s="5">
        <v>0.26712682579484759</v>
      </c>
      <c r="K59" s="5">
        <v>56.294145399648819</v>
      </c>
    </row>
    <row r="60" spans="1:14" x14ac:dyDescent="0.35">
      <c r="A60" t="s">
        <v>11</v>
      </c>
      <c r="B60">
        <v>128</v>
      </c>
      <c r="C60">
        <v>4</v>
      </c>
      <c r="D60" s="5">
        <v>2138.4864368277349</v>
      </c>
      <c r="E60" s="5">
        <v>2138.4864368277349</v>
      </c>
      <c r="F60">
        <v>0</v>
      </c>
      <c r="G60" s="5">
        <v>52.881999969482422</v>
      </c>
      <c r="H60" s="3">
        <v>0.26343085123137122</v>
      </c>
      <c r="I60">
        <v>1</v>
      </c>
      <c r="J60" s="5">
        <v>0.2301990845652325</v>
      </c>
      <c r="K60" s="5">
        <v>56.395345885773253</v>
      </c>
    </row>
    <row r="61" spans="1:14" x14ac:dyDescent="0.35">
      <c r="A61" t="s">
        <v>11</v>
      </c>
      <c r="B61">
        <v>128</v>
      </c>
      <c r="C61">
        <v>5</v>
      </c>
      <c r="D61" s="5">
        <v>2105.1617148017099</v>
      </c>
      <c r="E61" s="5">
        <v>2105.1617148017099</v>
      </c>
      <c r="F61">
        <v>0</v>
      </c>
      <c r="G61" s="5">
        <v>61.449000120162957</v>
      </c>
      <c r="H61" s="3">
        <v>0.25801954644768671</v>
      </c>
      <c r="I61">
        <v>1</v>
      </c>
      <c r="J61" s="5">
        <v>0.24138970281931649</v>
      </c>
      <c r="K61" s="5">
        <v>56.428058425508219</v>
      </c>
    </row>
    <row r="62" spans="1:14" x14ac:dyDescent="0.35">
      <c r="A62" t="s">
        <v>11</v>
      </c>
      <c r="B62">
        <v>128</v>
      </c>
      <c r="C62">
        <v>6</v>
      </c>
      <c r="D62" s="5">
        <v>2056.4185611631669</v>
      </c>
      <c r="E62" s="5">
        <v>2056.4185611631669</v>
      </c>
      <c r="F62">
        <v>0</v>
      </c>
      <c r="G62" s="5">
        <v>65.071000099182129</v>
      </c>
      <c r="H62" s="3">
        <v>0.28606202359342431</v>
      </c>
      <c r="I62">
        <v>1</v>
      </c>
      <c r="J62" s="5">
        <v>0.25463003262601402</v>
      </c>
      <c r="K62" s="5">
        <v>56.640446919231778</v>
      </c>
    </row>
    <row r="63" spans="1:14" x14ac:dyDescent="0.35">
      <c r="A63" t="s">
        <v>11</v>
      </c>
      <c r="B63">
        <v>128</v>
      </c>
      <c r="C63">
        <v>7</v>
      </c>
      <c r="D63" s="5">
        <v>2279.7480347044898</v>
      </c>
      <c r="E63" s="5">
        <v>2279.7480347044898</v>
      </c>
      <c r="F63">
        <v>0</v>
      </c>
      <c r="G63" s="5">
        <v>64.447000026702881</v>
      </c>
      <c r="H63" s="3">
        <v>0.40215920972149882</v>
      </c>
      <c r="I63">
        <v>0.99999999999999978</v>
      </c>
      <c r="J63" s="5">
        <v>0.2549504363623567</v>
      </c>
      <c r="K63" s="5">
        <v>56.413460234358951</v>
      </c>
    </row>
    <row r="64" spans="1:14" x14ac:dyDescent="0.35">
      <c r="A64" t="s">
        <v>11</v>
      </c>
      <c r="B64">
        <v>128</v>
      </c>
      <c r="C64">
        <v>8</v>
      </c>
      <c r="D64" s="5">
        <v>2121.1824056699379</v>
      </c>
      <c r="E64" s="5">
        <v>2121.1824056699379</v>
      </c>
      <c r="F64">
        <v>0</v>
      </c>
      <c r="G64" s="5">
        <v>56.52400016784668</v>
      </c>
      <c r="H64" s="3">
        <v>0.37715678110785422</v>
      </c>
      <c r="I64">
        <v>1</v>
      </c>
      <c r="J64" s="5">
        <v>0.26533638143655119</v>
      </c>
      <c r="K64" s="5">
        <v>56.436292278722071</v>
      </c>
    </row>
    <row r="65" spans="1:14" x14ac:dyDescent="0.35">
      <c r="A65" t="s">
        <v>11</v>
      </c>
      <c r="B65">
        <v>128</v>
      </c>
      <c r="C65">
        <v>9</v>
      </c>
      <c r="D65" s="5">
        <v>1987.2582443425749</v>
      </c>
      <c r="E65" s="5">
        <v>1987.2582443425749</v>
      </c>
      <c r="F65">
        <v>0</v>
      </c>
      <c r="G65" s="5">
        <v>59.41700005531311</v>
      </c>
      <c r="H65" s="3">
        <v>0.25019131111053838</v>
      </c>
      <c r="I65">
        <v>0.99999999999999978</v>
      </c>
      <c r="J65" s="5">
        <v>0.29214118764774849</v>
      </c>
      <c r="K65" s="5">
        <v>56.52644664021939</v>
      </c>
    </row>
    <row r="66" spans="1:14" x14ac:dyDescent="0.35">
      <c r="A66" t="s">
        <v>11</v>
      </c>
      <c r="B66">
        <v>128</v>
      </c>
      <c r="C66">
        <v>10</v>
      </c>
      <c r="D66" s="5">
        <v>2046.8042136152851</v>
      </c>
      <c r="E66" s="5">
        <v>2046.8042136152851</v>
      </c>
      <c r="F66">
        <v>0</v>
      </c>
      <c r="G66" s="5">
        <v>61.817999839782708</v>
      </c>
      <c r="H66" s="3">
        <v>0.2638168466101008</v>
      </c>
      <c r="I66">
        <v>1</v>
      </c>
      <c r="J66" s="5">
        <v>0.27143613678300149</v>
      </c>
      <c r="K66" s="5">
        <v>56.522627247442429</v>
      </c>
    </row>
    <row r="67" spans="1:14" x14ac:dyDescent="0.35">
      <c r="A67" t="s">
        <v>11</v>
      </c>
      <c r="B67">
        <v>128</v>
      </c>
      <c r="C67">
        <v>11</v>
      </c>
      <c r="D67" s="5">
        <v>2184.7652745038572</v>
      </c>
      <c r="E67" s="5">
        <v>2184.7652745038572</v>
      </c>
      <c r="F67">
        <v>0</v>
      </c>
      <c r="G67" s="5">
        <v>55.046000003814697</v>
      </c>
      <c r="H67" s="3">
        <v>0.3725873420189374</v>
      </c>
      <c r="I67">
        <v>1</v>
      </c>
      <c r="J67" s="5">
        <v>0.29446899370102508</v>
      </c>
      <c r="K67" s="5">
        <v>56.469709603560069</v>
      </c>
    </row>
    <row r="68" spans="1:14" s="11" customFormat="1" x14ac:dyDescent="0.35">
      <c r="A68" s="11" t="s">
        <v>12</v>
      </c>
      <c r="B68" s="11">
        <v>128</v>
      </c>
      <c r="C68">
        <v>1</v>
      </c>
      <c r="D68" s="12">
        <v>2121.2258760719369</v>
      </c>
      <c r="E68" s="13">
        <v>2121.2258760719369</v>
      </c>
      <c r="F68" s="14">
        <f>($D$57-D68)/$D$57</f>
        <v>-1.7194588290271211E-3</v>
      </c>
      <c r="G68" s="15">
        <v>64.649432897567749</v>
      </c>
      <c r="H68" s="14">
        <v>0.62957635096121523</v>
      </c>
      <c r="I68" s="11">
        <v>1</v>
      </c>
      <c r="J68" s="15">
        <v>0.23323219771928549</v>
      </c>
      <c r="K68" s="15">
        <v>56.084445960449173</v>
      </c>
      <c r="M68" s="14">
        <f>AVERAGE(F68:F78)</f>
        <v>7.6342302823779767E-2</v>
      </c>
      <c r="N68" s="16" t="s">
        <v>5</v>
      </c>
    </row>
    <row r="69" spans="1:14" x14ac:dyDescent="0.35">
      <c r="A69" t="s">
        <v>12</v>
      </c>
      <c r="B69">
        <v>128</v>
      </c>
      <c r="C69">
        <v>2</v>
      </c>
      <c r="D69" s="7">
        <v>1926.622019927484</v>
      </c>
      <c r="E69" s="8">
        <v>1926.622019927484</v>
      </c>
      <c r="F69" s="3">
        <f>($D$58-D69)/$D$58</f>
        <v>9.0811231720439103E-2</v>
      </c>
      <c r="G69" s="5">
        <v>59.644698858261108</v>
      </c>
      <c r="H69" s="3">
        <v>0.60214743653551894</v>
      </c>
      <c r="I69">
        <v>1</v>
      </c>
      <c r="J69" s="5">
        <v>0.3506259705006548</v>
      </c>
      <c r="K69" s="5">
        <v>56.365288529471087</v>
      </c>
      <c r="M69" s="3">
        <f>AVERAGE(H68:H78)</f>
        <v>0.5987054511166261</v>
      </c>
      <c r="N69" s="9" t="s">
        <v>13</v>
      </c>
    </row>
    <row r="70" spans="1:14" x14ac:dyDescent="0.35">
      <c r="A70" t="s">
        <v>12</v>
      </c>
      <c r="B70">
        <v>128</v>
      </c>
      <c r="C70">
        <v>3</v>
      </c>
      <c r="D70" s="7">
        <v>2156.6855085261191</v>
      </c>
      <c r="E70" s="8">
        <v>2156.6855085261191</v>
      </c>
      <c r="F70" s="3">
        <f>-($D$59-D70)/$D$59</f>
        <v>3.5613703575276927E-2</v>
      </c>
      <c r="G70" s="5">
        <v>63.321458339691162</v>
      </c>
      <c r="H70" s="3">
        <v>0.69446628228158702</v>
      </c>
      <c r="I70">
        <v>1</v>
      </c>
      <c r="J70" s="5">
        <v>0.28886222783681209</v>
      </c>
      <c r="K70" s="5">
        <v>56.286153485729322</v>
      </c>
      <c r="M70">
        <f>AVERAGE(I68:I78)</f>
        <v>1</v>
      </c>
      <c r="N70" s="9" t="s">
        <v>14</v>
      </c>
    </row>
    <row r="71" spans="1:14" x14ac:dyDescent="0.35">
      <c r="A71" t="s">
        <v>12</v>
      </c>
      <c r="B71">
        <v>128</v>
      </c>
      <c r="C71">
        <v>4</v>
      </c>
      <c r="D71" s="7">
        <v>1985.778486579469</v>
      </c>
      <c r="E71" s="8">
        <v>1985.778486579469</v>
      </c>
      <c r="F71" s="3">
        <f>($D$60-D71)/$D$60</f>
        <v>7.1409361134314842E-2</v>
      </c>
      <c r="G71" s="5">
        <v>62.572521924972527</v>
      </c>
      <c r="H71" s="3">
        <v>0.58578206284134482</v>
      </c>
      <c r="I71">
        <v>1</v>
      </c>
      <c r="J71" s="5">
        <v>0.32236450983304388</v>
      </c>
      <c r="K71" s="5">
        <v>56.145813394122243</v>
      </c>
      <c r="M71" s="5">
        <f>AVERAGE(J68:J78)</f>
        <v>0.29698301593050291</v>
      </c>
      <c r="N71" s="9" t="s">
        <v>15</v>
      </c>
    </row>
    <row r="72" spans="1:14" x14ac:dyDescent="0.35">
      <c r="A72" t="s">
        <v>12</v>
      </c>
      <c r="B72">
        <v>128</v>
      </c>
      <c r="C72">
        <v>5</v>
      </c>
      <c r="D72" s="7">
        <v>1849.431354377949</v>
      </c>
      <c r="E72" s="8">
        <v>1849.431354377949</v>
      </c>
      <c r="F72" s="3">
        <f>($D$61-D72)/$D$61</f>
        <v>0.12147777466485454</v>
      </c>
      <c r="G72" s="5">
        <v>60.032869815826423</v>
      </c>
      <c r="H72" s="3">
        <v>0.5378371645447948</v>
      </c>
      <c r="I72">
        <v>1</v>
      </c>
      <c r="J72" s="5">
        <v>0.30683196584903227</v>
      </c>
      <c r="K72" s="5">
        <v>56.005282855962001</v>
      </c>
      <c r="M72" s="5">
        <f>AVERAGE(K68:K78)</f>
        <v>56.105255265440512</v>
      </c>
      <c r="N72" s="9" t="s">
        <v>16</v>
      </c>
    </row>
    <row r="73" spans="1:14" x14ac:dyDescent="0.35">
      <c r="A73" t="s">
        <v>12</v>
      </c>
      <c r="B73">
        <v>128</v>
      </c>
      <c r="C73">
        <v>6</v>
      </c>
      <c r="D73" s="7">
        <v>1961.643333366658</v>
      </c>
      <c r="E73" s="8">
        <v>1961.643333366658</v>
      </c>
      <c r="F73" s="3">
        <f>($D$62-D73)/$D$62</f>
        <v>4.6087518166973492E-2</v>
      </c>
      <c r="G73" s="5">
        <v>58.345128297805793</v>
      </c>
      <c r="H73" s="3">
        <v>0.614278529222963</v>
      </c>
      <c r="I73">
        <v>1</v>
      </c>
      <c r="J73" s="5">
        <v>0.30041333437353801</v>
      </c>
      <c r="K73" s="5">
        <v>56.066174059095452</v>
      </c>
      <c r="M73" s="5">
        <f>AVERAGE(G68:G78)</f>
        <v>63.301200194792315</v>
      </c>
      <c r="N73" s="10" t="s">
        <v>6</v>
      </c>
    </row>
    <row r="74" spans="1:14" x14ac:dyDescent="0.35">
      <c r="A74" t="s">
        <v>12</v>
      </c>
      <c r="B74">
        <v>128</v>
      </c>
      <c r="C74">
        <v>7</v>
      </c>
      <c r="D74" s="7">
        <v>2003.8607060291149</v>
      </c>
      <c r="E74" s="8">
        <v>2003.8607060291149</v>
      </c>
      <c r="F74" s="3">
        <f>($D$63-D74)/$D$63</f>
        <v>0.12101658800690074</v>
      </c>
      <c r="G74" s="5">
        <v>56.38627815246582</v>
      </c>
      <c r="H74" s="3">
        <v>0.62913742429224806</v>
      </c>
      <c r="I74">
        <v>1</v>
      </c>
      <c r="J74" s="5">
        <v>0.30357317122006527</v>
      </c>
      <c r="K74" s="5">
        <v>56.50275583510868</v>
      </c>
    </row>
    <row r="75" spans="1:14" x14ac:dyDescent="0.35">
      <c r="A75" t="s">
        <v>12</v>
      </c>
      <c r="B75">
        <v>128</v>
      </c>
      <c r="C75">
        <v>8</v>
      </c>
      <c r="D75" s="7">
        <v>1835.7358679543649</v>
      </c>
      <c r="E75" s="8">
        <v>1835.7358679543649</v>
      </c>
      <c r="F75" s="3">
        <f>($D$64-D75)/$D$64</f>
        <v>0.13456953864626259</v>
      </c>
      <c r="G75" s="5">
        <v>70.595906019210815</v>
      </c>
      <c r="H75" s="3">
        <v>0.53831659194088677</v>
      </c>
      <c r="I75">
        <v>1</v>
      </c>
      <c r="J75" s="5">
        <v>0.3059113701158897</v>
      </c>
      <c r="K75" s="5">
        <v>55.218173091154981</v>
      </c>
    </row>
    <row r="76" spans="1:14" x14ac:dyDescent="0.35">
      <c r="A76" t="s">
        <v>12</v>
      </c>
      <c r="B76">
        <v>128</v>
      </c>
      <c r="C76">
        <v>9</v>
      </c>
      <c r="D76" s="7">
        <v>1909.678695243176</v>
      </c>
      <c r="E76" s="8">
        <v>1909.678695243176</v>
      </c>
      <c r="F76" s="3">
        <f>($D$65-D76)/$D$65</f>
        <v>3.903848396163722E-2</v>
      </c>
      <c r="G76" s="5">
        <v>69.651759386062622</v>
      </c>
      <c r="H76" s="3">
        <v>0.51487686253381726</v>
      </c>
      <c r="I76">
        <v>1</v>
      </c>
      <c r="J76" s="5">
        <v>0.25068710615685191</v>
      </c>
      <c r="K76" s="5">
        <v>55.582738338786562</v>
      </c>
    </row>
    <row r="77" spans="1:14" x14ac:dyDescent="0.35">
      <c r="A77" t="s">
        <v>12</v>
      </c>
      <c r="B77">
        <v>128</v>
      </c>
      <c r="C77">
        <v>10</v>
      </c>
      <c r="D77" s="7">
        <v>1869.3942053583689</v>
      </c>
      <c r="E77" s="8">
        <v>1869.3942053583689</v>
      </c>
      <c r="F77" s="3">
        <f>($D$66-D77)/$D$66</f>
        <v>8.6676589327298478E-2</v>
      </c>
      <c r="G77" s="5">
        <v>62.853686571121223</v>
      </c>
      <c r="H77" s="3">
        <v>0.55365671331208055</v>
      </c>
      <c r="I77">
        <v>1</v>
      </c>
      <c r="J77" s="5">
        <v>0.31511416610525378</v>
      </c>
      <c r="K77" s="5">
        <v>56.205721076318142</v>
      </c>
    </row>
    <row r="78" spans="1:14" x14ac:dyDescent="0.35">
      <c r="A78" t="s">
        <v>12</v>
      </c>
      <c r="B78">
        <v>128</v>
      </c>
      <c r="C78">
        <v>11</v>
      </c>
      <c r="D78" s="7">
        <v>1977.684481225122</v>
      </c>
      <c r="E78" s="8">
        <v>1977.684481225122</v>
      </c>
      <c r="F78" s="3">
        <f>($D$67-D78)/$D$67</f>
        <v>9.478400068664658E-2</v>
      </c>
      <c r="G78" s="5">
        <v>68.259461879730225</v>
      </c>
      <c r="H78" s="3">
        <v>0.68568454381642996</v>
      </c>
      <c r="I78">
        <v>1</v>
      </c>
      <c r="J78" s="5">
        <v>0.28919715552510478</v>
      </c>
      <c r="K78" s="5">
        <v>56.695261293647917</v>
      </c>
    </row>
    <row r="79" spans="1:14" s="11" customFormat="1" x14ac:dyDescent="0.35">
      <c r="A79" s="11" t="s">
        <v>12</v>
      </c>
      <c r="B79" s="11">
        <v>128</v>
      </c>
      <c r="C79">
        <v>1</v>
      </c>
      <c r="D79" s="12">
        <v>1893.3419854227291</v>
      </c>
      <c r="E79" s="13">
        <v>1893.3419854227291</v>
      </c>
      <c r="F79" s="14">
        <f>($D$57-D79)/$D$57</f>
        <v>0.10589554351089162</v>
      </c>
      <c r="G79" s="15">
        <v>65.201763391494751</v>
      </c>
      <c r="H79" s="14">
        <v>0.28089292624794321</v>
      </c>
      <c r="I79" s="11">
        <v>0.99999863561160307</v>
      </c>
      <c r="J79" s="15">
        <v>0.22747606762717709</v>
      </c>
      <c r="K79" s="15">
        <v>56.227247283868152</v>
      </c>
      <c r="M79" s="14">
        <f>AVERAGE(F79:F89)</f>
        <v>0.18744660935263599</v>
      </c>
      <c r="N79" s="16" t="s">
        <v>5</v>
      </c>
    </row>
    <row r="80" spans="1:14" x14ac:dyDescent="0.35">
      <c r="A80" t="s">
        <v>12</v>
      </c>
      <c r="B80">
        <v>128</v>
      </c>
      <c r="C80">
        <v>2</v>
      </c>
      <c r="D80" s="7">
        <v>1571.8700131834289</v>
      </c>
      <c r="E80" s="8">
        <v>1571.8700131834289</v>
      </c>
      <c r="F80" s="3">
        <f>($D$58-D80)/$D$58</f>
        <v>0.25822161980915709</v>
      </c>
      <c r="G80" s="5">
        <v>62.815203666687012</v>
      </c>
      <c r="H80" s="3">
        <v>0.16176302077747051</v>
      </c>
      <c r="I80">
        <v>0.99999137347431044</v>
      </c>
      <c r="J80" s="5">
        <v>0.34231627356303129</v>
      </c>
      <c r="K80" s="5">
        <v>56.409045754939832</v>
      </c>
      <c r="M80" s="3">
        <f>AVERAGE(H79:H89)</f>
        <v>0.21151848257942252</v>
      </c>
      <c r="N80" s="9" t="s">
        <v>13</v>
      </c>
    </row>
    <row r="81" spans="1:14" x14ac:dyDescent="0.35">
      <c r="A81" t="s">
        <v>12</v>
      </c>
      <c r="B81">
        <v>128</v>
      </c>
      <c r="C81">
        <v>3</v>
      </c>
      <c r="D81" s="7">
        <v>1772.2966376968491</v>
      </c>
      <c r="E81" s="8">
        <v>1772.2966376968491</v>
      </c>
      <c r="F81" s="3">
        <f>($D$59-D81)/$D$59</f>
        <v>0.14896507741011866</v>
      </c>
      <c r="G81" s="5">
        <v>66.623338222503662</v>
      </c>
      <c r="H81" s="3">
        <v>0.19016984308969281</v>
      </c>
      <c r="I81">
        <v>1</v>
      </c>
      <c r="J81" s="5">
        <v>0.26837393480857302</v>
      </c>
      <c r="K81" s="5">
        <v>56.33019916746192</v>
      </c>
      <c r="M81">
        <f>AVERAGE(I79:I89)</f>
        <v>0.99998348046315577</v>
      </c>
      <c r="N81" s="9" t="s">
        <v>14</v>
      </c>
    </row>
    <row r="82" spans="1:14" x14ac:dyDescent="0.35">
      <c r="A82" t="s">
        <v>12</v>
      </c>
      <c r="B82">
        <v>128</v>
      </c>
      <c r="C82">
        <v>4</v>
      </c>
      <c r="D82" s="7">
        <v>1782.646640118199</v>
      </c>
      <c r="E82" s="8">
        <v>1782.646640118199</v>
      </c>
      <c r="F82" s="3">
        <f>($D$60-D82)/$D$60</f>
        <v>0.16639796754446307</v>
      </c>
      <c r="G82" s="5">
        <v>67.27219820022583</v>
      </c>
      <c r="H82" s="3">
        <v>0.2037177787566635</v>
      </c>
      <c r="I82">
        <v>1</v>
      </c>
      <c r="J82" s="5">
        <v>0.3516922947228564</v>
      </c>
      <c r="K82" s="5">
        <v>56.368327720067242</v>
      </c>
      <c r="M82" s="5">
        <f>AVERAGE(J79:J89)</f>
        <v>0.30287055342504021</v>
      </c>
      <c r="N82" s="9" t="s">
        <v>15</v>
      </c>
    </row>
    <row r="83" spans="1:14" x14ac:dyDescent="0.35">
      <c r="A83" t="s">
        <v>12</v>
      </c>
      <c r="B83">
        <v>128</v>
      </c>
      <c r="C83">
        <v>5</v>
      </c>
      <c r="D83" s="7">
        <v>1560.2810373762379</v>
      </c>
      <c r="E83" s="8">
        <v>1560.2810373762379</v>
      </c>
      <c r="F83" s="3">
        <f>($D$61-D83)/$D$61</f>
        <v>0.25883079366033196</v>
      </c>
      <c r="G83" s="5">
        <v>69.96998119354248</v>
      </c>
      <c r="H83" s="3">
        <v>0.15524104109353271</v>
      </c>
      <c r="I83">
        <v>0.99989436931356457</v>
      </c>
      <c r="J83" s="5">
        <v>0.3673162262776119</v>
      </c>
      <c r="K83" s="5">
        <v>56.212688346270468</v>
      </c>
      <c r="M83" s="5">
        <f>AVERAGE(K79:K89)</f>
        <v>56.126270487051563</v>
      </c>
      <c r="N83" s="9" t="s">
        <v>16</v>
      </c>
    </row>
    <row r="84" spans="1:14" x14ac:dyDescent="0.35">
      <c r="A84" t="s">
        <v>12</v>
      </c>
      <c r="B84">
        <v>128</v>
      </c>
      <c r="C84">
        <v>6</v>
      </c>
      <c r="D84" s="7">
        <v>1572.464697840144</v>
      </c>
      <c r="E84" s="8">
        <v>1572.464697840144</v>
      </c>
      <c r="F84" s="3">
        <f>($D$62-D84)/$D$62</f>
        <v>0.23533821006229649</v>
      </c>
      <c r="G84" s="5">
        <v>85.021136522293091</v>
      </c>
      <c r="H84" s="3">
        <v>0.15474391970760951</v>
      </c>
      <c r="I84">
        <v>0.99997625065023066</v>
      </c>
      <c r="J84" s="5">
        <v>0.28932047202453592</v>
      </c>
      <c r="K84" s="5">
        <v>55.311384322497076</v>
      </c>
      <c r="M84" s="5">
        <f>AVERAGE(G79:G89)</f>
        <v>67.705590486526489</v>
      </c>
      <c r="N84" s="10" t="s">
        <v>6</v>
      </c>
    </row>
    <row r="85" spans="1:14" x14ac:dyDescent="0.35">
      <c r="A85" t="s">
        <v>12</v>
      </c>
      <c r="B85">
        <v>128</v>
      </c>
      <c r="C85">
        <v>7</v>
      </c>
      <c r="D85" s="7">
        <v>1719.802576039529</v>
      </c>
      <c r="E85" s="8">
        <v>1719.802576039529</v>
      </c>
      <c r="F85" s="3">
        <f>($D$63-D85)/$D$63</f>
        <v>0.24561725688143568</v>
      </c>
      <c r="G85" s="5">
        <v>73.204224348068237</v>
      </c>
      <c r="H85" s="3">
        <v>0.22556760037521101</v>
      </c>
      <c r="I85">
        <v>0.99999651456505823</v>
      </c>
      <c r="J85" s="5">
        <v>0.28936416543525301</v>
      </c>
      <c r="K85" s="5">
        <v>56.063751505499582</v>
      </c>
    </row>
    <row r="86" spans="1:14" x14ac:dyDescent="0.35">
      <c r="A86" t="s">
        <v>12</v>
      </c>
      <c r="B86">
        <v>128</v>
      </c>
      <c r="C86">
        <v>8</v>
      </c>
      <c r="D86" s="7">
        <v>1732.689992704961</v>
      </c>
      <c r="E86" s="8">
        <v>1732.689992704961</v>
      </c>
      <c r="F86" s="3">
        <f>($D$64-D86)/$D$64</f>
        <v>0.18314898894434231</v>
      </c>
      <c r="G86" s="5">
        <v>65.897937774658203</v>
      </c>
      <c r="H86" s="3">
        <v>0.23548405507656139</v>
      </c>
      <c r="I86">
        <v>0.99999999999999989</v>
      </c>
      <c r="J86" s="5">
        <v>0.35501786693541149</v>
      </c>
      <c r="K86" s="5">
        <v>56.050448307702652</v>
      </c>
    </row>
    <row r="87" spans="1:14" x14ac:dyDescent="0.35">
      <c r="A87" t="s">
        <v>12</v>
      </c>
      <c r="B87">
        <v>128</v>
      </c>
      <c r="C87">
        <v>9</v>
      </c>
      <c r="D87" s="7">
        <v>1834.3276997088919</v>
      </c>
      <c r="E87" s="8">
        <v>1834.3276997088919</v>
      </c>
      <c r="F87" s="3">
        <f>($D$65-D87)/$D$65</f>
        <v>7.6955546703128902E-2</v>
      </c>
      <c r="G87" s="5">
        <v>63.099229097366333</v>
      </c>
      <c r="H87" s="3">
        <v>0.35765651624190131</v>
      </c>
      <c r="I87">
        <v>1</v>
      </c>
      <c r="J87" s="5">
        <v>0.25698181499941619</v>
      </c>
      <c r="K87" s="5">
        <v>55.818997842868789</v>
      </c>
    </row>
    <row r="88" spans="1:14" x14ac:dyDescent="0.35">
      <c r="A88" t="s">
        <v>12</v>
      </c>
      <c r="B88">
        <v>128</v>
      </c>
      <c r="C88">
        <v>10</v>
      </c>
      <c r="D88" s="7">
        <v>1670.5098003794039</v>
      </c>
      <c r="E88" s="8">
        <v>1670.5098003794039</v>
      </c>
      <c r="F88" s="3">
        <f>($D$66-D88)/$D$66</f>
        <v>0.18384484980672852</v>
      </c>
      <c r="G88" s="5">
        <v>64.24199104309082</v>
      </c>
      <c r="H88" s="3">
        <v>0.17370609041875451</v>
      </c>
      <c r="I88">
        <v>0.99996114147994508</v>
      </c>
      <c r="J88" s="5">
        <v>0.31467822028876152</v>
      </c>
      <c r="K88" s="5">
        <v>56.342688215165317</v>
      </c>
    </row>
    <row r="89" spans="1:14" x14ac:dyDescent="0.35">
      <c r="A89" t="s">
        <v>12</v>
      </c>
      <c r="B89">
        <v>128</v>
      </c>
      <c r="C89">
        <v>11</v>
      </c>
      <c r="D89" s="7">
        <v>1750.6592996469819</v>
      </c>
      <c r="E89" s="8">
        <v>1750.6592996469819</v>
      </c>
      <c r="F89" s="3">
        <f>($D$67-D89)/$D$67</f>
        <v>0.19869684854610173</v>
      </c>
      <c r="G89" s="5">
        <v>61.414491891860962</v>
      </c>
      <c r="H89" s="3">
        <v>0.18776051658830761</v>
      </c>
      <c r="I89">
        <v>1</v>
      </c>
      <c r="J89" s="5">
        <v>0.26903875099281438</v>
      </c>
      <c r="K89" s="5">
        <v>56.254196891226258</v>
      </c>
    </row>
    <row r="90" spans="1:14" s="11" customFormat="1" x14ac:dyDescent="0.35">
      <c r="A90" s="11" t="s">
        <v>12</v>
      </c>
      <c r="B90" s="11">
        <v>128</v>
      </c>
      <c r="C90">
        <v>1</v>
      </c>
      <c r="D90" s="12">
        <v>2032.7289610477919</v>
      </c>
      <c r="E90" s="13">
        <v>2032.7289610477919</v>
      </c>
      <c r="F90" s="14">
        <f>($D$57-D90)/$D$57</f>
        <v>4.0071980180845942E-2</v>
      </c>
      <c r="G90" s="15">
        <v>83.421903610229492</v>
      </c>
      <c r="H90" s="14">
        <v>0.44215066667429043</v>
      </c>
      <c r="I90" s="11">
        <v>1</v>
      </c>
      <c r="J90" s="15">
        <v>0.2368228338874539</v>
      </c>
      <c r="K90" s="15">
        <v>56.103004420034097</v>
      </c>
      <c r="M90" s="14">
        <f>AVERAGE(F90:F100)</f>
        <v>0.14645756779206817</v>
      </c>
      <c r="N90" s="16" t="s">
        <v>5</v>
      </c>
    </row>
    <row r="91" spans="1:14" x14ac:dyDescent="0.35">
      <c r="A91" t="s">
        <v>12</v>
      </c>
      <c r="B91">
        <v>128</v>
      </c>
      <c r="C91">
        <v>2</v>
      </c>
      <c r="D91" s="7">
        <v>1677.0211499637751</v>
      </c>
      <c r="E91" s="8">
        <v>1677.0211499637751</v>
      </c>
      <c r="F91" s="3">
        <f>($D$58-D91)/$D$58</f>
        <v>0.20859993400691712</v>
      </c>
      <c r="G91" s="5">
        <v>68.499993085861206</v>
      </c>
      <c r="H91" s="3">
        <v>0.25144134587240069</v>
      </c>
      <c r="I91">
        <v>0.99999957530990968</v>
      </c>
      <c r="J91" s="5">
        <v>0.33887814859621912</v>
      </c>
      <c r="K91" s="5">
        <v>55.573621173038553</v>
      </c>
      <c r="M91" s="3">
        <f>AVERAGE(H90:H100)</f>
        <v>0.30578199796220762</v>
      </c>
      <c r="N91" s="9" t="s">
        <v>13</v>
      </c>
    </row>
    <row r="92" spans="1:14" x14ac:dyDescent="0.35">
      <c r="A92" t="s">
        <v>12</v>
      </c>
      <c r="B92">
        <v>128</v>
      </c>
      <c r="C92">
        <v>3</v>
      </c>
      <c r="D92" s="7">
        <v>1929.38081994661</v>
      </c>
      <c r="E92" s="8">
        <v>1929.38081994661</v>
      </c>
      <c r="F92" s="3">
        <f>($D$59-D92)/$D$59</f>
        <v>7.3535196182816592E-2</v>
      </c>
      <c r="G92" s="5">
        <v>67.08275032043457</v>
      </c>
      <c r="H92" s="3">
        <v>0.33299117676162721</v>
      </c>
      <c r="I92">
        <v>0.99999525662189714</v>
      </c>
      <c r="J92" s="5">
        <v>0.27979178570892999</v>
      </c>
      <c r="K92" s="5">
        <v>56.577573799499312</v>
      </c>
      <c r="M92">
        <f>AVERAGE(I90:I100)</f>
        <v>0.99999721699812483</v>
      </c>
      <c r="N92" s="9" t="s">
        <v>14</v>
      </c>
    </row>
    <row r="93" spans="1:14" x14ac:dyDescent="0.35">
      <c r="A93" t="s">
        <v>12</v>
      </c>
      <c r="B93">
        <v>128</v>
      </c>
      <c r="C93">
        <v>4</v>
      </c>
      <c r="D93" s="7">
        <v>1821.336536424164</v>
      </c>
      <c r="E93" s="8">
        <v>1821.336536424164</v>
      </c>
      <c r="F93" s="3">
        <f>($D$60-D93)/$D$60</f>
        <v>0.14830578064083311</v>
      </c>
      <c r="G93" s="5">
        <v>75.714868545532227</v>
      </c>
      <c r="H93" s="3">
        <v>0.33951399545535382</v>
      </c>
      <c r="I93">
        <v>0.99999264092650653</v>
      </c>
      <c r="J93" s="5">
        <v>0.32207629466850551</v>
      </c>
      <c r="K93" s="5">
        <v>56.020208616834793</v>
      </c>
      <c r="M93" s="5">
        <f>AVERAGE(J90:J100)</f>
        <v>0.30243800190130882</v>
      </c>
      <c r="N93" s="9" t="s">
        <v>15</v>
      </c>
    </row>
    <row r="94" spans="1:14" x14ac:dyDescent="0.35">
      <c r="A94" t="s">
        <v>12</v>
      </c>
      <c r="B94">
        <v>128</v>
      </c>
      <c r="C94">
        <v>5</v>
      </c>
      <c r="D94" s="7">
        <v>1636.9663743047299</v>
      </c>
      <c r="E94" s="8">
        <v>1636.9663743047299</v>
      </c>
      <c r="F94" s="3">
        <f>($D$61-D94)/$D$61</f>
        <v>0.22240350335322356</v>
      </c>
      <c r="G94" s="5">
        <v>63.463815689086907</v>
      </c>
      <c r="H94" s="3">
        <v>0.28308232802408528</v>
      </c>
      <c r="I94">
        <v>0.99999679240326789</v>
      </c>
      <c r="J94" s="5">
        <v>0.31792649856703431</v>
      </c>
      <c r="K94" s="5">
        <v>56.319650868411237</v>
      </c>
      <c r="M94" s="5">
        <f>AVERAGE(K90:K100)</f>
        <v>56.214803187731306</v>
      </c>
      <c r="N94" s="9" t="s">
        <v>16</v>
      </c>
    </row>
    <row r="95" spans="1:14" x14ac:dyDescent="0.35">
      <c r="A95" t="s">
        <v>12</v>
      </c>
      <c r="B95">
        <v>128</v>
      </c>
      <c r="C95">
        <v>6</v>
      </c>
      <c r="D95" s="7">
        <v>1761.6549219909771</v>
      </c>
      <c r="E95" s="8">
        <v>1761.6549219909771</v>
      </c>
      <c r="F95" s="3">
        <f>($D$62-D95)/$D$62</f>
        <v>0.14333834791175171</v>
      </c>
      <c r="G95" s="5">
        <v>63.857629060745239</v>
      </c>
      <c r="H95" s="3">
        <v>0.27798666020567409</v>
      </c>
      <c r="I95">
        <v>0.99998810191745002</v>
      </c>
      <c r="J95" s="5">
        <v>0.30399505480618971</v>
      </c>
      <c r="K95" s="5">
        <v>56.222063918116383</v>
      </c>
      <c r="M95" s="5">
        <f>AVERAGE(G90:G100)</f>
        <v>67.481080076911226</v>
      </c>
      <c r="N95" s="10" t="s">
        <v>6</v>
      </c>
    </row>
    <row r="96" spans="1:14" x14ac:dyDescent="0.35">
      <c r="A96" t="s">
        <v>12</v>
      </c>
      <c r="B96">
        <v>128</v>
      </c>
      <c r="C96">
        <v>7</v>
      </c>
      <c r="D96" s="7">
        <v>1857.512391839022</v>
      </c>
      <c r="E96" s="8">
        <v>1857.512391839022</v>
      </c>
      <c r="F96" s="3">
        <f>($D$63-D96)/$D$63</f>
        <v>0.18521153936215573</v>
      </c>
      <c r="G96" s="5">
        <v>65.365267753601074</v>
      </c>
      <c r="H96" s="3">
        <v>0.2631489629097028</v>
      </c>
      <c r="I96">
        <v>0.99999999999999989</v>
      </c>
      <c r="J96" s="5">
        <v>0.30831196815197182</v>
      </c>
      <c r="K96" s="5">
        <v>56.302845135120279</v>
      </c>
    </row>
    <row r="97" spans="1:14" x14ac:dyDescent="0.35">
      <c r="A97" t="s">
        <v>12</v>
      </c>
      <c r="B97">
        <v>128</v>
      </c>
      <c r="C97">
        <v>8</v>
      </c>
      <c r="D97" s="7">
        <v>1792.581333980057</v>
      </c>
      <c r="E97" s="8">
        <v>1792.581333980057</v>
      </c>
      <c r="F97" s="3">
        <f>($D$64-D97)/$D$64</f>
        <v>0.15491410395047947</v>
      </c>
      <c r="G97" s="5">
        <v>63.08179235458374</v>
      </c>
      <c r="H97" s="3">
        <v>0.26448751276146509</v>
      </c>
      <c r="I97">
        <v>0.99999999999999989</v>
      </c>
      <c r="J97" s="5">
        <v>0.35956592560387279</v>
      </c>
      <c r="K97" s="5">
        <v>56.106916495715787</v>
      </c>
    </row>
    <row r="98" spans="1:14" x14ac:dyDescent="0.35">
      <c r="A98" t="s">
        <v>12</v>
      </c>
      <c r="B98">
        <v>128</v>
      </c>
      <c r="C98">
        <v>9</v>
      </c>
      <c r="D98" s="7">
        <v>1882.4516807390551</v>
      </c>
      <c r="E98" s="8">
        <v>1882.4516807390551</v>
      </c>
      <c r="F98" s="3">
        <f>($D$65-D98)/$D$65</f>
        <v>5.273927729417572E-2</v>
      </c>
      <c r="G98" s="5">
        <v>63.657674789428711</v>
      </c>
      <c r="H98" s="3">
        <v>0.43278635402802013</v>
      </c>
      <c r="I98">
        <v>1</v>
      </c>
      <c r="J98" s="5">
        <v>0.26404315184035843</v>
      </c>
      <c r="K98" s="5">
        <v>56.137196578447757</v>
      </c>
    </row>
    <row r="99" spans="1:14" x14ac:dyDescent="0.35">
      <c r="A99" t="s">
        <v>12</v>
      </c>
      <c r="B99">
        <v>128</v>
      </c>
      <c r="C99">
        <v>10</v>
      </c>
      <c r="D99" s="7">
        <v>1665.3949242772151</v>
      </c>
      <c r="E99" s="8">
        <v>1665.3949242772151</v>
      </c>
      <c r="F99" s="3">
        <f>($D$66-D99)/$D$66</f>
        <v>0.18634380699479999</v>
      </c>
      <c r="G99" s="5">
        <v>62.324253559112549</v>
      </c>
      <c r="H99" s="3">
        <v>0.2119252022036148</v>
      </c>
      <c r="I99">
        <v>0.99999701980034328</v>
      </c>
      <c r="J99" s="5">
        <v>0.32430352672085139</v>
      </c>
      <c r="K99" s="5">
        <v>56.397024714196959</v>
      </c>
    </row>
    <row r="100" spans="1:14" x14ac:dyDescent="0.35">
      <c r="A100" t="s">
        <v>12</v>
      </c>
      <c r="B100">
        <v>128</v>
      </c>
      <c r="C100">
        <v>11</v>
      </c>
      <c r="D100" s="7">
        <v>1757.49121951759</v>
      </c>
      <c r="E100" s="8">
        <v>1757.49121951759</v>
      </c>
      <c r="F100" s="3">
        <f>($D$67-D100)/$D$67</f>
        <v>0.1955697758347508</v>
      </c>
      <c r="G100" s="5">
        <v>65.821932077407837</v>
      </c>
      <c r="H100" s="3">
        <v>0.26408777268804928</v>
      </c>
      <c r="I100">
        <v>1</v>
      </c>
      <c r="J100" s="5">
        <v>0.27110283236301058</v>
      </c>
      <c r="K100" s="5">
        <v>56.602729345629207</v>
      </c>
    </row>
    <row r="101" spans="1:14" s="11" customFormat="1" x14ac:dyDescent="0.35">
      <c r="A101" s="11" t="s">
        <v>12</v>
      </c>
      <c r="B101" s="11">
        <v>128</v>
      </c>
      <c r="C101">
        <v>1</v>
      </c>
      <c r="D101" s="12">
        <v>1699.175599126716</v>
      </c>
      <c r="E101" s="13">
        <v>1699.175599126716</v>
      </c>
      <c r="F101" s="14">
        <f>($D$57-D101)/$D$57</f>
        <v>0.19758792271352682</v>
      </c>
      <c r="G101" s="15">
        <v>80.963665723800659</v>
      </c>
      <c r="H101" s="14">
        <v>0.16951271928316419</v>
      </c>
      <c r="I101" s="11">
        <v>0.99998330174426298</v>
      </c>
      <c r="J101" s="15">
        <v>0.21609325247665129</v>
      </c>
      <c r="K101" s="15">
        <v>55.629034274648909</v>
      </c>
      <c r="M101" s="14">
        <f>AVERAGE(F101:F111)</f>
        <v>0.26033921589143155</v>
      </c>
      <c r="N101" s="16" t="s">
        <v>5</v>
      </c>
    </row>
    <row r="102" spans="1:14" x14ac:dyDescent="0.35">
      <c r="A102" t="s">
        <v>12</v>
      </c>
      <c r="B102">
        <v>128</v>
      </c>
      <c r="C102">
        <v>2</v>
      </c>
      <c r="F102" s="3"/>
      <c r="M102" s="3">
        <f>AVERAGE(H101:H111)</f>
        <v>0.17243253075188</v>
      </c>
      <c r="N102" s="9" t="s">
        <v>13</v>
      </c>
    </row>
    <row r="103" spans="1:14" x14ac:dyDescent="0.35">
      <c r="A103" t="s">
        <v>12</v>
      </c>
      <c r="B103">
        <v>128</v>
      </c>
      <c r="C103">
        <v>3</v>
      </c>
      <c r="D103" s="7">
        <v>1754.831596461004</v>
      </c>
      <c r="E103" s="8">
        <v>1754.831596461004</v>
      </c>
      <c r="F103" s="3">
        <f>($D$59-D103)/$D$59</f>
        <v>0.15735157417371456</v>
      </c>
      <c r="G103" s="5">
        <v>72.708844900131226</v>
      </c>
      <c r="H103" s="3">
        <v>0.22303290469487211</v>
      </c>
      <c r="I103">
        <v>0.99991927034272643</v>
      </c>
      <c r="J103" s="5">
        <v>0.24625585322332369</v>
      </c>
      <c r="K103" s="5">
        <v>54.905726754283407</v>
      </c>
      <c r="M103">
        <f>AVERAGE(I101:I111)</f>
        <v>0.99992100285275209</v>
      </c>
      <c r="N103" s="9" t="s">
        <v>14</v>
      </c>
    </row>
    <row r="104" spans="1:14" x14ac:dyDescent="0.35">
      <c r="A104" t="s">
        <v>12</v>
      </c>
      <c r="B104">
        <v>128</v>
      </c>
      <c r="C104">
        <v>4</v>
      </c>
      <c r="D104" s="7">
        <v>1565.06328077271</v>
      </c>
      <c r="E104" s="8">
        <v>1565.06328077271</v>
      </c>
      <c r="F104" s="3">
        <f>($D$60-D104)/$D$60</f>
        <v>0.26814439698090864</v>
      </c>
      <c r="G104" s="5">
        <v>72.345878124237061</v>
      </c>
      <c r="H104" s="3">
        <v>0.1892280616785213</v>
      </c>
      <c r="I104">
        <v>0.99996076162065051</v>
      </c>
      <c r="J104" s="5">
        <v>0.28828673752604811</v>
      </c>
      <c r="K104" s="5">
        <v>56.048591139707597</v>
      </c>
      <c r="M104" s="5">
        <f>AVERAGE(J101:J111)</f>
        <v>0.28315835416362273</v>
      </c>
      <c r="N104" s="9" t="s">
        <v>15</v>
      </c>
    </row>
    <row r="105" spans="1:14" x14ac:dyDescent="0.35">
      <c r="A105" t="s">
        <v>12</v>
      </c>
      <c r="B105">
        <v>128</v>
      </c>
      <c r="C105">
        <v>5</v>
      </c>
      <c r="D105" s="7">
        <v>1531.2180580503659</v>
      </c>
      <c r="E105" s="8">
        <v>1531.2180580503659</v>
      </c>
      <c r="F105" s="3">
        <f>($D$61-D105)/$D$61</f>
        <v>0.27263637406849051</v>
      </c>
      <c r="G105" s="5">
        <v>70.301364421844482</v>
      </c>
      <c r="H105" s="3">
        <v>0.15212356261303281</v>
      </c>
      <c r="I105">
        <v>0.99978598591184187</v>
      </c>
      <c r="J105" s="5">
        <v>0.30024106032011572</v>
      </c>
      <c r="K105" s="5">
        <v>55.908406563587889</v>
      </c>
      <c r="M105" s="5">
        <f>AVERAGE(K101:K111)</f>
        <v>55.74041202362163</v>
      </c>
      <c r="N105" s="9" t="s">
        <v>16</v>
      </c>
    </row>
    <row r="106" spans="1:14" x14ac:dyDescent="0.35">
      <c r="A106" t="s">
        <v>12</v>
      </c>
      <c r="B106">
        <v>128</v>
      </c>
      <c r="C106">
        <v>6</v>
      </c>
      <c r="D106" s="7">
        <v>1463.181101266309</v>
      </c>
      <c r="E106" s="8">
        <v>1463.181101266309</v>
      </c>
      <c r="F106" s="3">
        <f>($D$62-D106)/$D$62</f>
        <v>0.28848089153664636</v>
      </c>
      <c r="G106" s="5">
        <v>81.264100074768066</v>
      </c>
      <c r="H106" s="3">
        <v>0.12878522150543331</v>
      </c>
      <c r="I106">
        <v>0.99994081798390744</v>
      </c>
      <c r="J106" s="5">
        <v>0.30804956239732578</v>
      </c>
      <c r="K106" s="5">
        <v>55.669798938374647</v>
      </c>
      <c r="M106" s="5">
        <f>AVERAGE(G101:G111)</f>
        <v>77.161528801918024</v>
      </c>
      <c r="N106" s="10" t="s">
        <v>6</v>
      </c>
    </row>
    <row r="107" spans="1:14" x14ac:dyDescent="0.35">
      <c r="A107" t="s">
        <v>12</v>
      </c>
      <c r="B107">
        <v>128</v>
      </c>
      <c r="C107">
        <v>7</v>
      </c>
      <c r="D107" s="7">
        <v>1492.6531169131299</v>
      </c>
      <c r="E107" s="8">
        <v>1492.6531169131299</v>
      </c>
      <c r="F107" s="3">
        <f>($D$63-D107)/$D$63</f>
        <v>0.34525522373940165</v>
      </c>
      <c r="G107" s="5">
        <v>72.105060338973999</v>
      </c>
      <c r="H107" s="3">
        <v>0.1452754441640815</v>
      </c>
      <c r="I107">
        <v>0.99998547920241487</v>
      </c>
      <c r="J107" s="5">
        <v>0.30386714839684409</v>
      </c>
      <c r="K107" s="5">
        <v>55.616041526367511</v>
      </c>
    </row>
    <row r="108" spans="1:14" x14ac:dyDescent="0.35">
      <c r="A108" t="s">
        <v>12</v>
      </c>
      <c r="B108">
        <v>128</v>
      </c>
      <c r="C108">
        <v>8</v>
      </c>
      <c r="D108" s="7">
        <v>1408.6741995141131</v>
      </c>
      <c r="E108" s="8">
        <v>1408.6741995141131</v>
      </c>
      <c r="F108" s="3">
        <f>($D$64-D108)/$D$64</f>
        <v>0.33590143132023187</v>
      </c>
      <c r="G108" s="5">
        <v>100.4888710975647</v>
      </c>
      <c r="H108" s="3">
        <v>0.12610287554660521</v>
      </c>
      <c r="I108">
        <v>0.99988953094989907</v>
      </c>
      <c r="J108" s="5">
        <v>0.32517149328114359</v>
      </c>
      <c r="K108" s="5">
        <v>55.672305565130721</v>
      </c>
    </row>
    <row r="109" spans="1:14" x14ac:dyDescent="0.35">
      <c r="A109" t="s">
        <v>12</v>
      </c>
      <c r="B109">
        <v>128</v>
      </c>
      <c r="C109">
        <v>9</v>
      </c>
      <c r="D109" s="7">
        <v>1689.7848455119311</v>
      </c>
      <c r="E109" s="8">
        <v>1689.7848455119311</v>
      </c>
      <c r="F109" s="3">
        <f>($D$65-D109)/$D$65</f>
        <v>0.14969035840082981</v>
      </c>
      <c r="G109" s="5">
        <v>77.579617977142334</v>
      </c>
      <c r="H109" s="3">
        <v>0.2488862553958146</v>
      </c>
      <c r="I109">
        <v>0.9998614931972839</v>
      </c>
      <c r="J109" s="5">
        <v>0.26238549729152499</v>
      </c>
      <c r="K109" s="5">
        <v>55.89804652867867</v>
      </c>
    </row>
    <row r="110" spans="1:14" x14ac:dyDescent="0.35">
      <c r="A110" t="s">
        <v>12</v>
      </c>
      <c r="B110">
        <v>128</v>
      </c>
      <c r="C110">
        <v>10</v>
      </c>
      <c r="D110" s="7">
        <v>1459.6682176217521</v>
      </c>
      <c r="E110" s="8">
        <v>1459.6682176217521</v>
      </c>
      <c r="F110" s="3">
        <f>($D$66-D110)/$D$66</f>
        <v>0.28685498695376949</v>
      </c>
      <c r="G110" s="5">
        <v>74.08194637298584</v>
      </c>
      <c r="H110" s="3">
        <v>0.19983122841036799</v>
      </c>
      <c r="I110">
        <v>0.99996765345676586</v>
      </c>
      <c r="J110" s="5">
        <v>0.30009613608557301</v>
      </c>
      <c r="K110" s="5">
        <v>55.356768460615221</v>
      </c>
    </row>
    <row r="111" spans="1:14" x14ac:dyDescent="0.35">
      <c r="A111" t="s">
        <v>12</v>
      </c>
      <c r="B111">
        <v>128</v>
      </c>
      <c r="C111">
        <v>11</v>
      </c>
      <c r="D111" s="7">
        <v>1526.0825787851859</v>
      </c>
      <c r="E111" s="8">
        <v>1526.0825787851859</v>
      </c>
      <c r="F111" s="3">
        <f>($D$67-D111)/$D$67</f>
        <v>0.3014889990267961</v>
      </c>
      <c r="G111" s="5">
        <v>69.775938987731934</v>
      </c>
      <c r="H111" s="3">
        <v>0.14154703422690701</v>
      </c>
      <c r="I111">
        <v>0.99991573411776624</v>
      </c>
      <c r="J111" s="5">
        <v>0.28113680063767649</v>
      </c>
      <c r="K111" s="5">
        <v>56.699400484821673</v>
      </c>
    </row>
    <row r="112" spans="1:14" s="11" customFormat="1" x14ac:dyDescent="0.35">
      <c r="A112" s="11" t="s">
        <v>11</v>
      </c>
      <c r="B112" s="11">
        <v>128</v>
      </c>
      <c r="C112">
        <v>1</v>
      </c>
      <c r="D112" s="5">
        <v>2117.584776232231</v>
      </c>
      <c r="E112" s="5">
        <v>2117.584776232231</v>
      </c>
      <c r="F112">
        <v>0</v>
      </c>
      <c r="G112" s="5">
        <v>62.523000001907349</v>
      </c>
      <c r="H112" s="3">
        <v>0.38804305435656428</v>
      </c>
      <c r="I112">
        <v>0.99999999999999978</v>
      </c>
      <c r="J112" s="5">
        <v>0.26612556711486568</v>
      </c>
      <c r="K112" s="5">
        <v>56.421129910915411</v>
      </c>
    </row>
    <row r="113" spans="1:14" x14ac:dyDescent="0.35">
      <c r="A113" t="s">
        <v>11</v>
      </c>
      <c r="B113">
        <v>128</v>
      </c>
      <c r="C113">
        <v>2</v>
      </c>
      <c r="D113" s="5">
        <v>2119.0561158968021</v>
      </c>
      <c r="E113" s="5">
        <v>2119.0561158968021</v>
      </c>
      <c r="F113">
        <v>0</v>
      </c>
      <c r="G113" s="5">
        <v>58.853999853134162</v>
      </c>
      <c r="H113" s="3">
        <v>0.3298658488094568</v>
      </c>
      <c r="I113">
        <v>0.99999999999999978</v>
      </c>
      <c r="J113" s="5">
        <v>0.28572585641512138</v>
      </c>
      <c r="K113" s="5">
        <v>56.273416208332833</v>
      </c>
    </row>
    <row r="114" spans="1:14" x14ac:dyDescent="0.35">
      <c r="A114" t="s">
        <v>11</v>
      </c>
      <c r="B114">
        <v>128</v>
      </c>
      <c r="C114">
        <v>3</v>
      </c>
      <c r="D114" s="5">
        <v>2082.5192840540212</v>
      </c>
      <c r="E114" s="5">
        <v>2082.5192840540212</v>
      </c>
      <c r="F114">
        <v>0</v>
      </c>
      <c r="G114" s="5">
        <v>55.017999887466431</v>
      </c>
      <c r="H114" s="3">
        <v>0.2815708757068231</v>
      </c>
      <c r="I114">
        <v>0.99999999999999978</v>
      </c>
      <c r="J114" s="5">
        <v>0.26712682579484759</v>
      </c>
      <c r="K114" s="5">
        <v>56.294145399648819</v>
      </c>
    </row>
    <row r="115" spans="1:14" x14ac:dyDescent="0.35">
      <c r="A115" t="s">
        <v>11</v>
      </c>
      <c r="B115">
        <v>128</v>
      </c>
      <c r="C115">
        <v>4</v>
      </c>
      <c r="D115" s="5">
        <v>2138.4864368277349</v>
      </c>
      <c r="E115" s="5">
        <v>2138.4864368277349</v>
      </c>
      <c r="F115">
        <v>0</v>
      </c>
      <c r="G115" s="5">
        <v>52.881999969482422</v>
      </c>
      <c r="H115" s="3">
        <v>0.26343085123137122</v>
      </c>
      <c r="I115">
        <v>1</v>
      </c>
      <c r="J115" s="5">
        <v>0.2301990845652325</v>
      </c>
      <c r="K115" s="5">
        <v>56.395345885773253</v>
      </c>
    </row>
    <row r="116" spans="1:14" x14ac:dyDescent="0.35">
      <c r="A116" t="s">
        <v>11</v>
      </c>
      <c r="B116">
        <v>128</v>
      </c>
      <c r="C116">
        <v>5</v>
      </c>
      <c r="D116" s="5">
        <v>2105.1617148017099</v>
      </c>
      <c r="E116" s="5">
        <v>2105.1617148017099</v>
      </c>
      <c r="F116">
        <v>0</v>
      </c>
      <c r="G116" s="5">
        <v>61.449000120162957</v>
      </c>
      <c r="H116" s="3">
        <v>0.25801954644768671</v>
      </c>
      <c r="I116">
        <v>1</v>
      </c>
      <c r="J116" s="5">
        <v>0.24138970281931649</v>
      </c>
      <c r="K116" s="5">
        <v>56.428058425508219</v>
      </c>
    </row>
    <row r="117" spans="1:14" x14ac:dyDescent="0.35">
      <c r="A117" t="s">
        <v>11</v>
      </c>
      <c r="B117">
        <v>128</v>
      </c>
      <c r="C117">
        <v>6</v>
      </c>
      <c r="D117" s="5">
        <v>2056.4185611631669</v>
      </c>
      <c r="E117" s="5">
        <v>2056.4185611631669</v>
      </c>
      <c r="F117">
        <v>0</v>
      </c>
      <c r="G117" s="5">
        <v>65.071000099182129</v>
      </c>
      <c r="H117" s="3">
        <v>0.28606202359342431</v>
      </c>
      <c r="I117">
        <v>1</v>
      </c>
      <c r="J117" s="5">
        <v>0.25463003262601402</v>
      </c>
      <c r="K117" s="5">
        <v>56.640446919231778</v>
      </c>
    </row>
    <row r="118" spans="1:14" x14ac:dyDescent="0.35">
      <c r="A118" t="s">
        <v>11</v>
      </c>
      <c r="B118">
        <v>128</v>
      </c>
      <c r="C118">
        <v>7</v>
      </c>
      <c r="D118" s="5">
        <v>2279.7480347044898</v>
      </c>
      <c r="E118" s="5">
        <v>2279.7480347044898</v>
      </c>
      <c r="F118">
        <v>0</v>
      </c>
      <c r="G118" s="5">
        <v>64.447000026702881</v>
      </c>
      <c r="H118" s="3">
        <v>0.40215920972149882</v>
      </c>
      <c r="I118">
        <v>0.99999999999999978</v>
      </c>
      <c r="J118" s="5">
        <v>0.2549504363623567</v>
      </c>
      <c r="K118" s="5">
        <v>56.413460234358951</v>
      </c>
    </row>
    <row r="119" spans="1:14" x14ac:dyDescent="0.35">
      <c r="A119" t="s">
        <v>11</v>
      </c>
      <c r="B119">
        <v>128</v>
      </c>
      <c r="C119">
        <v>8</v>
      </c>
      <c r="D119" s="5">
        <v>2121.1824056699379</v>
      </c>
      <c r="E119" s="5">
        <v>2121.1824056699379</v>
      </c>
      <c r="F119">
        <v>0</v>
      </c>
      <c r="G119" s="5">
        <v>56.52400016784668</v>
      </c>
      <c r="H119" s="3">
        <v>0.37715678110785422</v>
      </c>
      <c r="I119">
        <v>1</v>
      </c>
      <c r="J119" s="5">
        <v>0.26533638143655119</v>
      </c>
      <c r="K119" s="5">
        <v>56.436292278722071</v>
      </c>
    </row>
    <row r="120" spans="1:14" x14ac:dyDescent="0.35">
      <c r="A120" t="s">
        <v>11</v>
      </c>
      <c r="B120">
        <v>128</v>
      </c>
      <c r="C120">
        <v>9</v>
      </c>
      <c r="D120" s="5">
        <v>1987.2582443425749</v>
      </c>
      <c r="E120" s="5">
        <v>1987.2582443425749</v>
      </c>
      <c r="F120">
        <v>0</v>
      </c>
      <c r="G120" s="5">
        <v>59.41700005531311</v>
      </c>
      <c r="H120" s="3">
        <v>0.25019131111053838</v>
      </c>
      <c r="I120">
        <v>0.99999999999999978</v>
      </c>
      <c r="J120" s="5">
        <v>0.29214118764774849</v>
      </c>
      <c r="K120" s="5">
        <v>56.52644664021939</v>
      </c>
    </row>
    <row r="121" spans="1:14" x14ac:dyDescent="0.35">
      <c r="A121" t="s">
        <v>11</v>
      </c>
      <c r="B121">
        <v>128</v>
      </c>
      <c r="C121">
        <v>10</v>
      </c>
      <c r="D121" s="5">
        <v>2046.8042136152851</v>
      </c>
      <c r="E121" s="5">
        <v>2046.8042136152851</v>
      </c>
      <c r="F121">
        <v>0</v>
      </c>
      <c r="G121" s="5">
        <v>61.817999839782708</v>
      </c>
      <c r="H121" s="3">
        <v>0.2638168466101008</v>
      </c>
      <c r="I121">
        <v>1</v>
      </c>
      <c r="J121" s="5">
        <v>0.27143613678300149</v>
      </c>
      <c r="K121" s="5">
        <v>56.522627247442429</v>
      </c>
    </row>
    <row r="122" spans="1:14" x14ac:dyDescent="0.35">
      <c r="A122" t="s">
        <v>11</v>
      </c>
      <c r="B122">
        <v>128</v>
      </c>
      <c r="C122">
        <v>11</v>
      </c>
      <c r="D122" s="5">
        <v>2184.7652745038572</v>
      </c>
      <c r="E122" s="5">
        <v>2184.7652745038572</v>
      </c>
      <c r="F122">
        <v>0</v>
      </c>
      <c r="G122" s="5">
        <v>55.046000003814697</v>
      </c>
      <c r="H122" s="3">
        <v>0.3725873420189374</v>
      </c>
      <c r="I122">
        <v>1</v>
      </c>
      <c r="J122" s="5">
        <v>0.29446899370102508</v>
      </c>
      <c r="K122" s="5">
        <v>56.469709603560069</v>
      </c>
    </row>
    <row r="123" spans="1:14" s="11" customFormat="1" x14ac:dyDescent="0.35">
      <c r="A123" t="s">
        <v>12</v>
      </c>
      <c r="B123">
        <v>128</v>
      </c>
      <c r="C123">
        <v>1</v>
      </c>
      <c r="D123" s="12"/>
      <c r="E123" s="13"/>
      <c r="F123" s="14"/>
      <c r="G123" s="15"/>
      <c r="H123" s="14"/>
      <c r="J123" s="15"/>
      <c r="K123" s="15"/>
      <c r="M123" s="14">
        <f>AVERAGE(F123:F133)</f>
        <v>6.9293405182640003E-2</v>
      </c>
      <c r="N123" s="16" t="s">
        <v>5</v>
      </c>
    </row>
    <row r="124" spans="1:14" x14ac:dyDescent="0.35">
      <c r="A124" t="s">
        <v>12</v>
      </c>
      <c r="B124">
        <v>128</v>
      </c>
      <c r="C124">
        <v>2</v>
      </c>
      <c r="D124" s="7">
        <v>1973.610106974704</v>
      </c>
      <c r="E124" s="8">
        <v>1973.610106974704</v>
      </c>
      <c r="F124" s="3">
        <f>($D$113-D124)/$D$113</f>
        <v>6.8637167194859391E-2</v>
      </c>
      <c r="G124" s="5">
        <v>76.608062982559204</v>
      </c>
      <c r="H124" s="3">
        <v>0.64516465529597922</v>
      </c>
      <c r="I124">
        <v>1</v>
      </c>
      <c r="J124" s="5">
        <v>0.35576361184361499</v>
      </c>
      <c r="K124" s="5">
        <v>56.181682656363222</v>
      </c>
      <c r="M124" s="3">
        <f>AVERAGE(H123:H133)</f>
        <v>0.63799423908858499</v>
      </c>
      <c r="N124" s="9" t="s">
        <v>13</v>
      </c>
    </row>
    <row r="125" spans="1:14" x14ac:dyDescent="0.35">
      <c r="A125" t="s">
        <v>12</v>
      </c>
      <c r="B125">
        <v>128</v>
      </c>
      <c r="C125">
        <v>3</v>
      </c>
      <c r="D125" s="7">
        <v>2157.7867954377721</v>
      </c>
      <c r="E125" s="8">
        <v>2157.7867954377721</v>
      </c>
      <c r="F125" s="3">
        <f>-($D$114-D125)/$D$114</f>
        <v>3.6142527927630168E-2</v>
      </c>
      <c r="G125" s="5">
        <v>67.529440879821777</v>
      </c>
      <c r="H125" s="3">
        <v>0.69912776722777326</v>
      </c>
      <c r="I125">
        <v>1</v>
      </c>
      <c r="J125" s="5">
        <v>0.29001249806437152</v>
      </c>
      <c r="K125" s="5">
        <v>56.291927286153218</v>
      </c>
      <c r="M125">
        <f>AVERAGE(I123:I133)</f>
        <v>1</v>
      </c>
      <c r="N125" s="9" t="s">
        <v>14</v>
      </c>
    </row>
    <row r="126" spans="1:14" x14ac:dyDescent="0.35">
      <c r="A126" t="s">
        <v>12</v>
      </c>
      <c r="B126">
        <v>128</v>
      </c>
      <c r="C126">
        <v>4</v>
      </c>
      <c r="D126" s="7">
        <v>1995.509083888913</v>
      </c>
      <c r="E126" s="8">
        <v>1995.509083888913</v>
      </c>
      <c r="F126" s="3">
        <f>($D$115-D126)/$D$115</f>
        <v>6.6859134795784272E-2</v>
      </c>
      <c r="G126" s="5">
        <v>74.219361305236816</v>
      </c>
      <c r="H126" s="3">
        <v>0.60422712510198595</v>
      </c>
      <c r="I126">
        <v>0.99999999999999978</v>
      </c>
      <c r="J126" s="5">
        <v>0.3261073911519245</v>
      </c>
      <c r="K126" s="5">
        <v>56.199627212627682</v>
      </c>
      <c r="M126" s="5">
        <f>AVERAGE(J123:J133)</f>
        <v>0.31930231923340152</v>
      </c>
      <c r="N126" s="9" t="s">
        <v>15</v>
      </c>
    </row>
    <row r="127" spans="1:14" x14ac:dyDescent="0.35">
      <c r="A127" t="s">
        <v>12</v>
      </c>
      <c r="B127">
        <v>128</v>
      </c>
      <c r="C127">
        <v>5</v>
      </c>
      <c r="D127" s="7">
        <v>1901.98706117082</v>
      </c>
      <c r="E127" s="8">
        <v>1901.98706117082</v>
      </c>
      <c r="F127" s="3">
        <f>($D$116-D127)/$D$116</f>
        <v>9.6512610980115321E-2</v>
      </c>
      <c r="G127" s="5">
        <v>62.479217767715447</v>
      </c>
      <c r="H127" s="3">
        <v>0.5856106876225462</v>
      </c>
      <c r="I127">
        <v>1</v>
      </c>
      <c r="J127" s="5">
        <v>0.3208508868796755</v>
      </c>
      <c r="K127" s="5">
        <v>56.048572253882327</v>
      </c>
      <c r="M127" s="5">
        <f>AVERAGE(K123:K133)</f>
        <v>56.276298077111846</v>
      </c>
      <c r="N127" s="9" t="s">
        <v>16</v>
      </c>
    </row>
    <row r="128" spans="1:14" x14ac:dyDescent="0.35">
      <c r="A128" t="s">
        <v>12</v>
      </c>
      <c r="B128">
        <v>128</v>
      </c>
      <c r="C128">
        <v>6</v>
      </c>
      <c r="D128" s="7">
        <v>1979.95646107073</v>
      </c>
      <c r="E128" s="8">
        <v>1979.95646107073</v>
      </c>
      <c r="F128" s="3">
        <f>($D$117-D128)/$D$117</f>
        <v>3.7182167840961254E-2</v>
      </c>
      <c r="G128" s="5">
        <v>61.477737426757813</v>
      </c>
      <c r="H128" s="3">
        <v>0.63918630874290738</v>
      </c>
      <c r="I128">
        <v>1</v>
      </c>
      <c r="J128" s="5">
        <v>0.30457304757137688</v>
      </c>
      <c r="K128" s="5">
        <v>56.289311563746317</v>
      </c>
      <c r="M128" s="5">
        <f>AVERAGE(G123:G133)</f>
        <v>64.438573201497391</v>
      </c>
      <c r="N128" s="10" t="s">
        <v>6</v>
      </c>
    </row>
    <row r="129" spans="1:14" x14ac:dyDescent="0.35">
      <c r="A129" t="s">
        <v>12</v>
      </c>
      <c r="B129">
        <v>128</v>
      </c>
      <c r="C129">
        <v>7</v>
      </c>
      <c r="D129" s="7">
        <v>2070.8471742823172</v>
      </c>
      <c r="E129" s="8">
        <v>2070.8471742823172</v>
      </c>
      <c r="F129" s="3">
        <f>($D$118-D129)/$D$118</f>
        <v>9.1633310893171227E-2</v>
      </c>
      <c r="G129" s="5">
        <v>56.5712730884552</v>
      </c>
      <c r="H129" s="3">
        <v>0.66725998257806107</v>
      </c>
      <c r="I129">
        <v>0.99999999999999978</v>
      </c>
      <c r="J129" s="5">
        <v>0.31229368685293452</v>
      </c>
      <c r="K129" s="5">
        <v>56.243825107369808</v>
      </c>
    </row>
    <row r="130" spans="1:14" x14ac:dyDescent="0.35">
      <c r="A130" t="s">
        <v>12</v>
      </c>
      <c r="B130">
        <v>128</v>
      </c>
      <c r="C130">
        <v>8</v>
      </c>
      <c r="D130" s="7">
        <v>1954.097462511276</v>
      </c>
      <c r="E130" s="8">
        <v>1954.097462511276</v>
      </c>
      <c r="F130" s="3">
        <f>($D$119-D130)/$D$119</f>
        <v>7.8769719526261606E-2</v>
      </c>
      <c r="G130" s="5">
        <v>59.376209497451782</v>
      </c>
      <c r="H130" s="3">
        <v>0.6431681066000885</v>
      </c>
      <c r="I130">
        <v>1</v>
      </c>
      <c r="J130" s="5">
        <v>0.35231212422828118</v>
      </c>
      <c r="K130" s="5">
        <v>56.278059066845557</v>
      </c>
    </row>
    <row r="131" spans="1:14" x14ac:dyDescent="0.35">
      <c r="A131" t="s">
        <v>12</v>
      </c>
      <c r="B131">
        <v>128</v>
      </c>
      <c r="C131">
        <v>9</v>
      </c>
      <c r="F131" s="3"/>
    </row>
    <row r="132" spans="1:14" x14ac:dyDescent="0.35">
      <c r="A132" t="s">
        <v>12</v>
      </c>
      <c r="B132">
        <v>128</v>
      </c>
      <c r="C132">
        <v>10</v>
      </c>
      <c r="D132" s="7">
        <v>1902.9764694911109</v>
      </c>
      <c r="E132" s="8">
        <v>1902.9764694911109</v>
      </c>
      <c r="F132" s="3">
        <f>($D$121-D132)/$D$121</f>
        <v>7.0269419599312904E-2</v>
      </c>
      <c r="G132" s="5">
        <v>60.537510395050049</v>
      </c>
      <c r="H132" s="3">
        <v>0.62501452914452771</v>
      </c>
      <c r="I132">
        <v>1</v>
      </c>
      <c r="J132" s="5">
        <v>0.32112379461415258</v>
      </c>
      <c r="K132" s="5">
        <v>56.520685695971054</v>
      </c>
    </row>
    <row r="133" spans="1:14" x14ac:dyDescent="0.35">
      <c r="A133" t="s">
        <v>12</v>
      </c>
      <c r="B133">
        <v>128</v>
      </c>
      <c r="C133">
        <v>11</v>
      </c>
      <c r="D133" s="7">
        <v>2015.1519227908409</v>
      </c>
      <c r="E133" s="8">
        <v>2015.1519227908409</v>
      </c>
      <c r="F133" s="3">
        <f>($D$122-D133)/$D$122</f>
        <v>7.7634587885663894E-2</v>
      </c>
      <c r="G133" s="5">
        <v>61.148345470428467</v>
      </c>
      <c r="H133" s="3">
        <v>0.63318898948339608</v>
      </c>
      <c r="I133">
        <v>1</v>
      </c>
      <c r="J133" s="5">
        <v>0.29068383189428187</v>
      </c>
      <c r="K133" s="5">
        <v>56.432991851047383</v>
      </c>
    </row>
    <row r="134" spans="1:14" s="11" customFormat="1" x14ac:dyDescent="0.35">
      <c r="A134" s="11" t="s">
        <v>12</v>
      </c>
      <c r="B134" s="11">
        <v>128</v>
      </c>
      <c r="C134">
        <v>1</v>
      </c>
      <c r="D134" s="12">
        <v>1922.9574966628761</v>
      </c>
      <c r="E134" s="13">
        <v>1922.9574966628761</v>
      </c>
      <c r="F134" s="14">
        <f>($D$112-D134)/$D$112</f>
        <v>9.1910029649745886E-2</v>
      </c>
      <c r="G134" s="15">
        <v>65.284309387207031</v>
      </c>
      <c r="H134" s="14">
        <v>0.29235107108605862</v>
      </c>
      <c r="I134" s="11">
        <v>1</v>
      </c>
      <c r="J134" s="15">
        <v>0.23352457291456449</v>
      </c>
      <c r="K134" s="15">
        <v>56.080494023601602</v>
      </c>
      <c r="M134" s="14">
        <f>AVERAGE(F134:F144)</f>
        <v>0.1440959253099082</v>
      </c>
      <c r="N134" s="16" t="s">
        <v>5</v>
      </c>
    </row>
    <row r="135" spans="1:14" x14ac:dyDescent="0.35">
      <c r="A135" t="s">
        <v>12</v>
      </c>
      <c r="B135">
        <v>128</v>
      </c>
      <c r="C135">
        <v>2</v>
      </c>
      <c r="D135" s="7">
        <v>1880.0244796239269</v>
      </c>
      <c r="E135" s="8">
        <v>1880.0244796239269</v>
      </c>
      <c r="F135" s="3">
        <f>($D$113-D135)/$D$113</f>
        <v>0.1128009940273408</v>
      </c>
      <c r="G135" s="5">
        <v>65.510315656661987</v>
      </c>
      <c r="H135" s="3">
        <v>0.41010908386281042</v>
      </c>
      <c r="I135">
        <v>1</v>
      </c>
      <c r="J135" s="5">
        <v>0.34955690864121353</v>
      </c>
      <c r="K135" s="5">
        <v>56.416424813167119</v>
      </c>
      <c r="M135" s="3">
        <f>AVERAGE(H134:H144)</f>
        <v>0.27915770565517284</v>
      </c>
      <c r="N135" s="9" t="s">
        <v>13</v>
      </c>
    </row>
    <row r="136" spans="1:14" x14ac:dyDescent="0.35">
      <c r="A136" t="s">
        <v>12</v>
      </c>
      <c r="B136">
        <v>128</v>
      </c>
      <c r="C136">
        <v>3</v>
      </c>
      <c r="D136" s="7">
        <v>1956.0497935752251</v>
      </c>
      <c r="E136" s="8">
        <v>1956.0497935752251</v>
      </c>
      <c r="F136" s="3">
        <f>($D$114-D136)/$D$114</f>
        <v>6.0729084934377731E-2</v>
      </c>
      <c r="G136" s="5">
        <v>69.712279319763184</v>
      </c>
      <c r="H136" s="3">
        <v>0.30980863413001708</v>
      </c>
      <c r="I136">
        <v>1</v>
      </c>
      <c r="J136" s="5">
        <v>0.28221997500874318</v>
      </c>
      <c r="K136" s="5">
        <v>56.391513265927777</v>
      </c>
      <c r="M136">
        <f>AVERAGE(I134:I144)</f>
        <v>0.99999664245766862</v>
      </c>
      <c r="N136" s="9" t="s">
        <v>14</v>
      </c>
    </row>
    <row r="137" spans="1:14" x14ac:dyDescent="0.35">
      <c r="A137" t="s">
        <v>12</v>
      </c>
      <c r="B137">
        <v>128</v>
      </c>
      <c r="C137">
        <v>4</v>
      </c>
      <c r="D137" s="7">
        <v>1850.7532795761549</v>
      </c>
      <c r="E137" s="8">
        <v>1850.7532795761549</v>
      </c>
      <c r="F137" s="3">
        <f>($D$115-D137)/$D$115</f>
        <v>0.13454990983174436</v>
      </c>
      <c r="G137" s="5">
        <v>72.578452348709106</v>
      </c>
      <c r="H137" s="3">
        <v>0.26567331043918918</v>
      </c>
      <c r="I137">
        <v>0.99999999999999989</v>
      </c>
      <c r="J137" s="5">
        <v>0.34247738324375721</v>
      </c>
      <c r="K137" s="5">
        <v>56.347417375877328</v>
      </c>
      <c r="M137" s="5">
        <f>AVERAGE(J134:J144)</f>
        <v>0.30528098154177441</v>
      </c>
      <c r="N137" s="9" t="s">
        <v>15</v>
      </c>
    </row>
    <row r="138" spans="1:14" x14ac:dyDescent="0.35">
      <c r="A138" t="s">
        <v>12</v>
      </c>
      <c r="B138">
        <v>128</v>
      </c>
      <c r="C138">
        <v>5</v>
      </c>
      <c r="D138" s="7">
        <v>1722.685179738492</v>
      </c>
      <c r="E138" s="8">
        <v>1722.685179738492</v>
      </c>
      <c r="F138" s="3">
        <f>($D$116-D138)/$D$116</f>
        <v>0.18168510873723742</v>
      </c>
      <c r="G138" s="5">
        <v>68.108908176422119</v>
      </c>
      <c r="H138" s="3">
        <v>0.27013867594388258</v>
      </c>
      <c r="I138">
        <v>1</v>
      </c>
      <c r="J138" s="5">
        <v>0.3242141953128323</v>
      </c>
      <c r="K138" s="5">
        <v>56.140925946529222</v>
      </c>
      <c r="M138" s="5">
        <f>AVERAGE(K134:K144)</f>
        <v>56.30941989149256</v>
      </c>
      <c r="N138" s="9" t="s">
        <v>16</v>
      </c>
    </row>
    <row r="139" spans="1:14" x14ac:dyDescent="0.35">
      <c r="A139" t="s">
        <v>12</v>
      </c>
      <c r="B139">
        <v>128</v>
      </c>
      <c r="C139">
        <v>6</v>
      </c>
      <c r="D139" s="7">
        <v>1703.4245500945381</v>
      </c>
      <c r="E139" s="8">
        <v>1703.4245500945381</v>
      </c>
      <c r="F139" s="3">
        <f>($D$117-D139)/$D$117</f>
        <v>0.17165474856877666</v>
      </c>
      <c r="G139" s="5">
        <v>73.056744575500488</v>
      </c>
      <c r="H139" s="3">
        <v>0.28653663325000328</v>
      </c>
      <c r="I139">
        <v>1</v>
      </c>
      <c r="J139" s="5">
        <v>0.29698432946918352</v>
      </c>
      <c r="K139" s="5">
        <v>56.171092757900936</v>
      </c>
      <c r="M139" s="5">
        <f>AVERAGE(G134:G144)</f>
        <v>67.871568918228149</v>
      </c>
      <c r="N139" s="10" t="s">
        <v>6</v>
      </c>
    </row>
    <row r="140" spans="1:14" x14ac:dyDescent="0.35">
      <c r="A140" t="s">
        <v>12</v>
      </c>
      <c r="B140">
        <v>128</v>
      </c>
      <c r="C140">
        <v>7</v>
      </c>
      <c r="D140" s="7">
        <v>1879.9746074753079</v>
      </c>
      <c r="E140" s="8">
        <v>1879.9746074753079</v>
      </c>
      <c r="F140" s="3">
        <f>($D$118-D140)/$D$118</f>
        <v>0.17535860153992944</v>
      </c>
      <c r="G140" s="5">
        <v>61.616357088088989</v>
      </c>
      <c r="H140" s="3">
        <v>0.29512478991954799</v>
      </c>
      <c r="I140">
        <v>1</v>
      </c>
      <c r="J140" s="5">
        <v>0.31527301583158801</v>
      </c>
      <c r="K140" s="5">
        <v>56.446256518061467</v>
      </c>
    </row>
    <row r="141" spans="1:14" x14ac:dyDescent="0.35">
      <c r="A141" t="s">
        <v>12</v>
      </c>
      <c r="B141">
        <v>128</v>
      </c>
      <c r="C141">
        <v>8</v>
      </c>
      <c r="D141" s="7">
        <v>1664.851255631778</v>
      </c>
      <c r="E141" s="8">
        <v>1664.851255631778</v>
      </c>
      <c r="F141" s="3">
        <f>($D$119-D141)/$D$119</f>
        <v>0.21513055587222626</v>
      </c>
      <c r="G141" s="5">
        <v>70.850417375564575</v>
      </c>
      <c r="H141" s="3">
        <v>0.22658650724508039</v>
      </c>
      <c r="I141">
        <v>1</v>
      </c>
      <c r="J141" s="5">
        <v>0.34443150251957622</v>
      </c>
      <c r="K141" s="5">
        <v>56.179080540514533</v>
      </c>
    </row>
    <row r="142" spans="1:14" x14ac:dyDescent="0.35">
      <c r="A142" t="s">
        <v>12</v>
      </c>
      <c r="B142">
        <v>128</v>
      </c>
      <c r="C142">
        <v>9</v>
      </c>
      <c r="D142" s="7">
        <v>1740.9315462085081</v>
      </c>
      <c r="E142" s="8">
        <v>1740.9315462085081</v>
      </c>
      <c r="F142" s="3">
        <f>($D$120-D142)/$D$120</f>
        <v>0.12395303873330098</v>
      </c>
      <c r="G142" s="5">
        <v>63.957693338394172</v>
      </c>
      <c r="H142" s="3">
        <v>0.2085794631550533</v>
      </c>
      <c r="I142">
        <v>0.99996306703435422</v>
      </c>
      <c r="J142" s="5">
        <v>0.27346163254091038</v>
      </c>
      <c r="K142" s="5">
        <v>56.394214618434141</v>
      </c>
    </row>
    <row r="143" spans="1:14" x14ac:dyDescent="0.35">
      <c r="A143" t="s">
        <v>12</v>
      </c>
      <c r="B143">
        <v>128</v>
      </c>
      <c r="C143">
        <v>10</v>
      </c>
      <c r="D143" s="7">
        <v>1750.836288237939</v>
      </c>
      <c r="E143" s="8">
        <v>1750.836288237939</v>
      </c>
      <c r="F143" s="3">
        <f>($D$121-D143)/$D$121</f>
        <v>0.14460001763166971</v>
      </c>
      <c r="G143" s="5">
        <v>63.50728178024292</v>
      </c>
      <c r="H143" s="3">
        <v>0.27873374636950837</v>
      </c>
      <c r="I143">
        <v>1</v>
      </c>
      <c r="J143" s="5">
        <v>0.31623105186493689</v>
      </c>
      <c r="K143" s="5">
        <v>56.456306711952003</v>
      </c>
    </row>
    <row r="144" spans="1:14" x14ac:dyDescent="0.35">
      <c r="A144" t="s">
        <v>12</v>
      </c>
      <c r="B144">
        <v>128</v>
      </c>
      <c r="C144">
        <v>11</v>
      </c>
      <c r="D144" s="7">
        <v>1807.4932584190001</v>
      </c>
      <c r="E144" s="8">
        <v>1807.4932584190001</v>
      </c>
      <c r="F144" s="3">
        <f>($D$122-D144)/$D$122</f>
        <v>0.172683088882641</v>
      </c>
      <c r="G144" s="5">
        <v>72.404499053955078</v>
      </c>
      <c r="H144" s="3">
        <v>0.22709284680575029</v>
      </c>
      <c r="I144">
        <v>0.99999999999999989</v>
      </c>
      <c r="J144" s="5">
        <v>0.27971622961221299</v>
      </c>
      <c r="K144" s="5">
        <v>56.379892234452058</v>
      </c>
    </row>
    <row r="145" spans="1:14" s="11" customFormat="1" x14ac:dyDescent="0.35">
      <c r="A145" s="11" t="s">
        <v>12</v>
      </c>
      <c r="B145" s="11">
        <v>128</v>
      </c>
      <c r="C145">
        <v>1</v>
      </c>
      <c r="D145" s="12">
        <v>1965.989428143547</v>
      </c>
      <c r="E145" s="13">
        <v>1965.989428143547</v>
      </c>
      <c r="F145" s="14">
        <f>($D$112-D145)/$D$112</f>
        <v>7.1588797667130014E-2</v>
      </c>
      <c r="G145" s="15">
        <v>74.261824131011963</v>
      </c>
      <c r="H145" s="14">
        <v>0.32768004018571079</v>
      </c>
      <c r="I145" s="11">
        <v>1</v>
      </c>
      <c r="J145" s="15">
        <v>0.22657671754048581</v>
      </c>
      <c r="K145" s="15">
        <v>56.330515615817752</v>
      </c>
      <c r="M145" s="14">
        <f>AVERAGE(F145:F155)</f>
        <v>0.12856510439952731</v>
      </c>
      <c r="N145" s="16" t="s">
        <v>5</v>
      </c>
    </row>
    <row r="146" spans="1:14" x14ac:dyDescent="0.35">
      <c r="A146" t="s">
        <v>12</v>
      </c>
      <c r="B146">
        <v>128</v>
      </c>
      <c r="C146">
        <v>2</v>
      </c>
      <c r="D146" s="7">
        <v>1894.5818148748001</v>
      </c>
      <c r="E146" s="8">
        <v>1894.5818148748001</v>
      </c>
      <c r="F146" s="3">
        <f>($D$113-D146)/$D$113</f>
        <v>0.10593126785932359</v>
      </c>
      <c r="G146" s="5">
        <v>67.326961517333984</v>
      </c>
      <c r="H146" s="3">
        <v>0.40828317413355802</v>
      </c>
      <c r="I146">
        <v>0.99999999999999989</v>
      </c>
      <c r="J146" s="5">
        <v>0.35001013203105591</v>
      </c>
      <c r="K146" s="5">
        <v>56.21288289141868</v>
      </c>
      <c r="M146" s="3">
        <f>AVERAGE(H145:H155)</f>
        <v>0.32780052654783659</v>
      </c>
      <c r="N146" s="9" t="s">
        <v>13</v>
      </c>
    </row>
    <row r="147" spans="1:14" x14ac:dyDescent="0.35">
      <c r="A147" t="s">
        <v>12</v>
      </c>
      <c r="B147">
        <v>128</v>
      </c>
      <c r="C147">
        <v>3</v>
      </c>
      <c r="D147" s="7">
        <v>2027.9804375288461</v>
      </c>
      <c r="E147" s="8">
        <v>2027.9804375288461</v>
      </c>
      <c r="F147" s="3">
        <f>($D$114-D147)/$D$114</f>
        <v>2.6188879470544376E-2</v>
      </c>
      <c r="G147" s="5">
        <v>67.53679084777832</v>
      </c>
      <c r="H147" s="3">
        <v>0.45662559878680481</v>
      </c>
      <c r="I147">
        <v>1</v>
      </c>
      <c r="J147" s="5">
        <v>0.28557480379197159</v>
      </c>
      <c r="K147" s="5">
        <v>56.381484032345817</v>
      </c>
      <c r="M147">
        <f>AVERAGE(I145:I155)</f>
        <v>1</v>
      </c>
      <c r="N147" s="9" t="s">
        <v>14</v>
      </c>
    </row>
    <row r="148" spans="1:14" x14ac:dyDescent="0.35">
      <c r="A148" t="s">
        <v>12</v>
      </c>
      <c r="B148">
        <v>128</v>
      </c>
      <c r="C148">
        <v>4</v>
      </c>
      <c r="D148" s="7">
        <v>1890.7318477787101</v>
      </c>
      <c r="E148" s="8">
        <v>1890.7318477787101</v>
      </c>
      <c r="F148" s="3">
        <f>($D$115-D148)/$D$115</f>
        <v>0.11585511358984721</v>
      </c>
      <c r="G148" s="5">
        <v>69.465590238571167</v>
      </c>
      <c r="H148" s="3">
        <v>0.33577378165387212</v>
      </c>
      <c r="I148">
        <v>0.99999999999999989</v>
      </c>
      <c r="J148" s="5">
        <v>0.32329629326591008</v>
      </c>
      <c r="K148" s="5">
        <v>56.193362774521297</v>
      </c>
      <c r="M148" s="5">
        <f>AVERAGE(J145:J155)</f>
        <v>0.29832815245692584</v>
      </c>
      <c r="N148" s="9" t="s">
        <v>15</v>
      </c>
    </row>
    <row r="149" spans="1:14" x14ac:dyDescent="0.35">
      <c r="A149" t="s">
        <v>12</v>
      </c>
      <c r="B149">
        <v>128</v>
      </c>
      <c r="C149">
        <v>5</v>
      </c>
      <c r="D149" s="7">
        <v>1781.4981941121241</v>
      </c>
      <c r="E149" s="8">
        <v>1781.4981941121241</v>
      </c>
      <c r="F149" s="3">
        <f>($D$116-D149)/$D$116</f>
        <v>0.15374758072686706</v>
      </c>
      <c r="G149" s="5">
        <v>76.831352472305298</v>
      </c>
      <c r="H149" s="3">
        <v>0.37625962775525201</v>
      </c>
      <c r="I149">
        <v>1</v>
      </c>
      <c r="J149" s="5">
        <v>0.31262695196259283</v>
      </c>
      <c r="K149" s="5">
        <v>56.118210450419816</v>
      </c>
      <c r="M149" s="5">
        <f>AVERAGE(K145:K155)</f>
        <v>56.376365328372323</v>
      </c>
      <c r="N149" s="9" t="s">
        <v>16</v>
      </c>
    </row>
    <row r="150" spans="1:14" x14ac:dyDescent="0.35">
      <c r="A150" t="s">
        <v>12</v>
      </c>
      <c r="B150">
        <v>128</v>
      </c>
      <c r="C150">
        <v>6</v>
      </c>
      <c r="D150" s="7">
        <v>1806.740574078498</v>
      </c>
      <c r="E150" s="8">
        <v>1806.740574078498</v>
      </c>
      <c r="F150" s="3">
        <f>($D$117-D150)/$D$117</f>
        <v>0.12141399217066211</v>
      </c>
      <c r="G150" s="5">
        <v>65.929805994033813</v>
      </c>
      <c r="H150" s="3">
        <v>0.29656484307166059</v>
      </c>
      <c r="I150">
        <v>1</v>
      </c>
      <c r="J150" s="5">
        <v>0.28038540672160711</v>
      </c>
      <c r="K150" s="5">
        <v>56.244923289890899</v>
      </c>
      <c r="M150" s="5">
        <f>AVERAGE(G145:G155)</f>
        <v>69.721484422683716</v>
      </c>
      <c r="N150" s="10" t="s">
        <v>6</v>
      </c>
    </row>
    <row r="151" spans="1:14" x14ac:dyDescent="0.35">
      <c r="A151" t="s">
        <v>12</v>
      </c>
      <c r="B151">
        <v>128</v>
      </c>
      <c r="C151">
        <v>7</v>
      </c>
      <c r="D151" s="7">
        <v>1867.757012363644</v>
      </c>
      <c r="E151" s="8">
        <v>1867.757012363644</v>
      </c>
      <c r="F151" s="3">
        <f>($D$118-D151)/$D$118</f>
        <v>0.18071778813672704</v>
      </c>
      <c r="G151" s="5">
        <v>66.7435142993927</v>
      </c>
      <c r="H151" s="3">
        <v>0.31284943688530398</v>
      </c>
      <c r="I151">
        <v>1</v>
      </c>
      <c r="J151" s="5">
        <v>0.29258879400309018</v>
      </c>
      <c r="K151" s="5">
        <v>56.495352178291107</v>
      </c>
    </row>
    <row r="152" spans="1:14" x14ac:dyDescent="0.35">
      <c r="A152" t="s">
        <v>12</v>
      </c>
      <c r="B152">
        <v>128</v>
      </c>
      <c r="C152">
        <v>8</v>
      </c>
      <c r="D152" s="7">
        <v>1662.4432576211921</v>
      </c>
      <c r="E152" s="8">
        <v>1662.4432576211921</v>
      </c>
      <c r="F152" s="3">
        <f>($D$119-D152)/$D$119</f>
        <v>0.21626577083730864</v>
      </c>
      <c r="G152" s="5">
        <v>65.589873075485229</v>
      </c>
      <c r="H152" s="3">
        <v>0.26301387821450473</v>
      </c>
      <c r="I152">
        <v>0.99999999999999989</v>
      </c>
      <c r="J152" s="5">
        <v>0.35801886531244448</v>
      </c>
      <c r="K152" s="5">
        <v>56.6572693109065</v>
      </c>
    </row>
    <row r="153" spans="1:14" x14ac:dyDescent="0.35">
      <c r="A153" t="s">
        <v>12</v>
      </c>
      <c r="B153">
        <v>128</v>
      </c>
      <c r="C153">
        <v>9</v>
      </c>
      <c r="D153" s="7">
        <v>1809.641035722615</v>
      </c>
      <c r="E153" s="8">
        <v>1809.641035722615</v>
      </c>
      <c r="F153" s="3">
        <f>($D$120-D153)/$D$120</f>
        <v>8.9378020760819271E-2</v>
      </c>
      <c r="G153" s="5">
        <v>70.558455228805542</v>
      </c>
      <c r="H153" s="3">
        <v>0.26158836659525359</v>
      </c>
      <c r="I153">
        <v>1</v>
      </c>
      <c r="J153" s="5">
        <v>0.2556224479312148</v>
      </c>
      <c r="K153" s="5">
        <v>56.548321093868701</v>
      </c>
    </row>
    <row r="154" spans="1:14" x14ac:dyDescent="0.35">
      <c r="A154" t="s">
        <v>12</v>
      </c>
      <c r="B154">
        <v>128</v>
      </c>
      <c r="C154">
        <v>10</v>
      </c>
      <c r="D154" s="7">
        <v>1685.056180056027</v>
      </c>
      <c r="E154" s="8">
        <v>1685.056180056027</v>
      </c>
      <c r="F154" s="3">
        <f>($D$121-D154)/$D$121</f>
        <v>0.1767379757931512</v>
      </c>
      <c r="G154" s="5">
        <v>74.212499141693115</v>
      </c>
      <c r="H154" s="3">
        <v>0.24363845378971899</v>
      </c>
      <c r="I154">
        <v>1</v>
      </c>
      <c r="J154" s="5">
        <v>0.31947110493436792</v>
      </c>
      <c r="K154" s="5">
        <v>56.552817893641141</v>
      </c>
    </row>
    <row r="155" spans="1:14" x14ac:dyDescent="0.35">
      <c r="A155" t="s">
        <v>12</v>
      </c>
      <c r="B155">
        <v>128</v>
      </c>
      <c r="C155">
        <v>11</v>
      </c>
      <c r="D155" s="7">
        <v>1843.0877328292729</v>
      </c>
      <c r="E155" s="8">
        <v>1843.0877328292729</v>
      </c>
      <c r="F155" s="3">
        <f>($D$122-D155)/$D$122</f>
        <v>0.1563909613824197</v>
      </c>
      <c r="G155" s="5">
        <v>68.479661703109741</v>
      </c>
      <c r="H155" s="3">
        <v>0.32352859095456349</v>
      </c>
      <c r="I155">
        <v>1</v>
      </c>
      <c r="J155" s="5">
        <v>0.27743815953144352</v>
      </c>
      <c r="K155" s="5">
        <v>56.404879080973821</v>
      </c>
    </row>
    <row r="156" spans="1:14" s="11" customFormat="1" x14ac:dyDescent="0.35">
      <c r="A156" s="11" t="s">
        <v>12</v>
      </c>
      <c r="B156" s="11">
        <v>128</v>
      </c>
      <c r="C156">
        <v>1</v>
      </c>
      <c r="D156" s="12"/>
      <c r="E156" s="13"/>
      <c r="F156" s="14">
        <f>($D$112-D156)/$D$112</f>
        <v>1</v>
      </c>
      <c r="G156" s="15"/>
      <c r="H156" s="14"/>
      <c r="J156" s="15"/>
      <c r="K156" s="15"/>
      <c r="M156" s="14">
        <f>AVERAGE(F156:F166)</f>
        <v>0.34997443239199977</v>
      </c>
      <c r="N156" s="16" t="s">
        <v>5</v>
      </c>
    </row>
    <row r="157" spans="1:14" x14ac:dyDescent="0.35">
      <c r="A157" t="s">
        <v>12</v>
      </c>
      <c r="B157">
        <v>128</v>
      </c>
      <c r="C157">
        <v>2</v>
      </c>
      <c r="D157" s="7">
        <v>1539.6249730799791</v>
      </c>
      <c r="E157" s="8">
        <v>1539.6249730799791</v>
      </c>
      <c r="F157" s="3">
        <f>($D$113-D157)/$D$113</f>
        <v>0.27343831929226797</v>
      </c>
      <c r="G157" s="5">
        <v>87.226357460021973</v>
      </c>
      <c r="H157" s="3">
        <v>0.16439067195212231</v>
      </c>
      <c r="I157">
        <v>1</v>
      </c>
      <c r="J157" s="5">
        <v>0.33690923712983228</v>
      </c>
      <c r="K157" s="5">
        <v>55.950579061098942</v>
      </c>
      <c r="M157" s="3">
        <f>AVERAGE(H156:H166)</f>
        <v>0.24120830881050973</v>
      </c>
      <c r="N157" s="9" t="s">
        <v>13</v>
      </c>
    </row>
    <row r="158" spans="1:14" x14ac:dyDescent="0.35">
      <c r="A158" t="s">
        <v>12</v>
      </c>
      <c r="B158">
        <v>128</v>
      </c>
      <c r="C158">
        <v>3</v>
      </c>
      <c r="D158" s="7">
        <v>1855.7013549431099</v>
      </c>
      <c r="E158" s="8">
        <v>1855.7013549431099</v>
      </c>
      <c r="F158" s="3">
        <f>($D$114-D158)/$D$114</f>
        <v>0.10891516388235645</v>
      </c>
      <c r="G158" s="5">
        <v>86.84853196144104</v>
      </c>
      <c r="H158" s="3">
        <v>0.27262421148474142</v>
      </c>
      <c r="I158">
        <v>1</v>
      </c>
      <c r="J158" s="5">
        <v>0.25632209192684818</v>
      </c>
      <c r="K158" s="5">
        <v>54.870907795661211</v>
      </c>
      <c r="M158">
        <f>AVERAGE(I156:I166)</f>
        <v>0.99999939096043788</v>
      </c>
      <c r="N158" s="9" t="s">
        <v>14</v>
      </c>
    </row>
    <row r="159" spans="1:14" x14ac:dyDescent="0.35">
      <c r="A159" t="s">
        <v>12</v>
      </c>
      <c r="B159">
        <v>128</v>
      </c>
      <c r="C159">
        <v>4</v>
      </c>
      <c r="D159" s="7">
        <v>1768.2591679583959</v>
      </c>
      <c r="E159" s="8">
        <v>1768.2591679583959</v>
      </c>
      <c r="F159" s="3">
        <f>($D$115-D159)/$D$115</f>
        <v>0.17312584381808849</v>
      </c>
      <c r="G159" s="5">
        <v>95.783636331558228</v>
      </c>
      <c r="H159" s="3">
        <v>0.24126705250100561</v>
      </c>
      <c r="I159">
        <v>0.99999999999999989</v>
      </c>
      <c r="J159" s="5">
        <v>0.29315069970517371</v>
      </c>
      <c r="K159" s="5">
        <v>56.566561068798762</v>
      </c>
      <c r="M159" s="5">
        <f>AVERAGE(J156:J166)</f>
        <v>0.30043765868783645</v>
      </c>
      <c r="N159" s="9" t="s">
        <v>15</v>
      </c>
    </row>
    <row r="160" spans="1:14" x14ac:dyDescent="0.35">
      <c r="A160" t="s">
        <v>12</v>
      </c>
      <c r="B160">
        <v>128</v>
      </c>
      <c r="C160">
        <v>5</v>
      </c>
      <c r="D160" s="7">
        <v>1587.939899561203</v>
      </c>
      <c r="E160" s="8">
        <v>1587.939899561203</v>
      </c>
      <c r="F160" s="3">
        <f>($D$116-D160)/$D$116</f>
        <v>0.24569220103322334</v>
      </c>
      <c r="G160" s="5">
        <v>98.954310417175293</v>
      </c>
      <c r="H160" s="3">
        <v>0.20261549747746929</v>
      </c>
      <c r="I160">
        <v>0.99999977550888319</v>
      </c>
      <c r="J160" s="5">
        <v>0.31666739505782199</v>
      </c>
      <c r="K160" s="5">
        <v>55.574554712537193</v>
      </c>
      <c r="M160" s="5">
        <f>AVERAGE(K156:K166)</f>
        <v>56.01162009089289</v>
      </c>
      <c r="N160" s="9" t="s">
        <v>16</v>
      </c>
    </row>
    <row r="161" spans="1:14" x14ac:dyDescent="0.35">
      <c r="A161" t="s">
        <v>12</v>
      </c>
      <c r="B161">
        <v>128</v>
      </c>
      <c r="C161">
        <v>6</v>
      </c>
      <c r="D161" s="7">
        <v>1744.928423338886</v>
      </c>
      <c r="E161" s="8">
        <v>1744.928423338886</v>
      </c>
      <c r="F161" s="3">
        <f>($D$117-D161)/$D$117</f>
        <v>0.15147214857275629</v>
      </c>
      <c r="G161" s="5">
        <v>364.19541168212891</v>
      </c>
      <c r="H161" s="3">
        <v>0.28627832135350789</v>
      </c>
      <c r="I161">
        <v>0.99999474313505854</v>
      </c>
      <c r="J161" s="5">
        <v>0.30100825234649631</v>
      </c>
      <c r="K161" s="5">
        <v>56.515746158377468</v>
      </c>
      <c r="M161" s="5">
        <f>AVERAGE(G156:G166)</f>
        <v>158.70397885640463</v>
      </c>
      <c r="N161" s="10" t="s">
        <v>6</v>
      </c>
    </row>
    <row r="162" spans="1:14" x14ac:dyDescent="0.35">
      <c r="A162" t="s">
        <v>12</v>
      </c>
      <c r="B162">
        <v>128</v>
      </c>
      <c r="C162">
        <v>7</v>
      </c>
      <c r="D162" s="7">
        <v>1594.7896308924071</v>
      </c>
      <c r="E162" s="8">
        <v>1594.7896308924071</v>
      </c>
      <c r="F162" s="3">
        <f>($D$118-D162)/$D$118</f>
        <v>0.30045355600048573</v>
      </c>
      <c r="G162" s="5">
        <v>108.5029873847961</v>
      </c>
      <c r="H162" s="3">
        <v>0.16187847445699749</v>
      </c>
      <c r="I162">
        <v>1</v>
      </c>
      <c r="J162" s="5">
        <v>0.29831410355159338</v>
      </c>
      <c r="K162" s="5">
        <v>56.018125700998418</v>
      </c>
    </row>
    <row r="163" spans="1:14" x14ac:dyDescent="0.35">
      <c r="A163" t="s">
        <v>12</v>
      </c>
      <c r="B163">
        <v>128</v>
      </c>
      <c r="C163">
        <v>8</v>
      </c>
      <c r="D163" s="7">
        <v>1703.2812043917311</v>
      </c>
      <c r="E163" s="8">
        <v>1703.2812043917311</v>
      </c>
      <c r="F163" s="3">
        <f>($D$119-D163)/$D$119</f>
        <v>0.19701332622840614</v>
      </c>
      <c r="G163" s="5">
        <v>355.35045742988592</v>
      </c>
      <c r="H163" s="3">
        <v>0.32570166057509831</v>
      </c>
      <c r="I163">
        <v>0.99999999999999989</v>
      </c>
      <c r="J163" s="5">
        <v>0.33053396029924592</v>
      </c>
      <c r="K163" s="5">
        <v>56.269140843740502</v>
      </c>
    </row>
    <row r="164" spans="1:14" x14ac:dyDescent="0.35">
      <c r="A164" t="s">
        <v>12</v>
      </c>
      <c r="B164">
        <v>128</v>
      </c>
      <c r="C164">
        <v>9</v>
      </c>
      <c r="F164" s="3">
        <f>($D$120-D164)/$D$120</f>
        <v>1</v>
      </c>
    </row>
    <row r="165" spans="1:14" x14ac:dyDescent="0.35">
      <c r="A165" t="s">
        <v>12</v>
      </c>
      <c r="B165">
        <v>128</v>
      </c>
      <c r="C165">
        <v>10</v>
      </c>
      <c r="D165" s="7">
        <v>1735.8112400109251</v>
      </c>
      <c r="E165" s="8">
        <v>1735.8112400109251</v>
      </c>
      <c r="F165" s="3">
        <f>($D$121-D165)/$D$121</f>
        <v>0.15194075307039304</v>
      </c>
      <c r="G165" s="5">
        <v>113.2835350036621</v>
      </c>
      <c r="H165" s="3">
        <v>0.32939986125793019</v>
      </c>
      <c r="I165">
        <v>1</v>
      </c>
      <c r="J165" s="5">
        <v>0.30685464781798399</v>
      </c>
      <c r="K165" s="5">
        <v>56.068416292168813</v>
      </c>
    </row>
    <row r="166" spans="1:14" x14ac:dyDescent="0.35">
      <c r="A166" t="s">
        <v>12</v>
      </c>
      <c r="B166">
        <v>128</v>
      </c>
      <c r="C166">
        <v>11</v>
      </c>
      <c r="D166" s="7">
        <v>1643.6700423229929</v>
      </c>
      <c r="E166" s="8">
        <v>1643.6700423229929</v>
      </c>
      <c r="F166" s="3">
        <f>($D$122-D166)/$D$122</f>
        <v>0.24766744441401958</v>
      </c>
      <c r="G166" s="5">
        <v>118.190582036972</v>
      </c>
      <c r="H166" s="3">
        <v>0.18671902823571471</v>
      </c>
      <c r="I166">
        <v>1</v>
      </c>
      <c r="J166" s="5">
        <v>0.26417854035553229</v>
      </c>
      <c r="K166" s="5">
        <v>56.270549184654747</v>
      </c>
    </row>
    <row r="167" spans="1:14" s="11" customFormat="1" x14ac:dyDescent="0.35">
      <c r="A167" s="11" t="s">
        <v>11</v>
      </c>
      <c r="B167" s="11">
        <v>160</v>
      </c>
      <c r="C167">
        <v>1</v>
      </c>
      <c r="D167" s="5">
        <v>2117.584776232231</v>
      </c>
      <c r="E167" s="5">
        <v>2117.584776232231</v>
      </c>
      <c r="F167">
        <v>0</v>
      </c>
      <c r="G167" s="5">
        <v>62.523000001907349</v>
      </c>
      <c r="H167" s="3">
        <v>0.38804305435656428</v>
      </c>
      <c r="I167">
        <v>0.99999999999999978</v>
      </c>
      <c r="J167" s="5">
        <v>0.26612556711486568</v>
      </c>
      <c r="K167" s="5">
        <v>56.421129910915411</v>
      </c>
    </row>
    <row r="168" spans="1:14" x14ac:dyDescent="0.35">
      <c r="A168" t="s">
        <v>11</v>
      </c>
      <c r="B168">
        <v>160</v>
      </c>
      <c r="C168">
        <v>2</v>
      </c>
      <c r="D168" s="5">
        <v>2119.0561158968021</v>
      </c>
      <c r="E168" s="5">
        <v>2119.0561158968021</v>
      </c>
      <c r="F168">
        <v>0</v>
      </c>
      <c r="G168" s="5">
        <v>58.853999853134162</v>
      </c>
      <c r="H168" s="3">
        <v>0.3298658488094568</v>
      </c>
      <c r="I168">
        <v>0.99999999999999978</v>
      </c>
      <c r="J168" s="5">
        <v>0.28572585641512138</v>
      </c>
      <c r="K168" s="5">
        <v>56.273416208332833</v>
      </c>
    </row>
    <row r="169" spans="1:14" x14ac:dyDescent="0.35">
      <c r="A169" t="s">
        <v>11</v>
      </c>
      <c r="B169">
        <v>160</v>
      </c>
      <c r="C169">
        <v>3</v>
      </c>
      <c r="D169" s="5">
        <v>2082.5192840540212</v>
      </c>
      <c r="E169" s="5">
        <v>2082.5192840540212</v>
      </c>
      <c r="F169">
        <v>0</v>
      </c>
      <c r="G169" s="5">
        <v>55.017999887466431</v>
      </c>
      <c r="H169" s="3">
        <v>0.2815708757068231</v>
      </c>
      <c r="I169">
        <v>0.99999999999999978</v>
      </c>
      <c r="J169" s="5">
        <v>0.26712682579484759</v>
      </c>
      <c r="K169" s="5">
        <v>56.294145399648819</v>
      </c>
    </row>
    <row r="170" spans="1:14" x14ac:dyDescent="0.35">
      <c r="A170" t="s">
        <v>11</v>
      </c>
      <c r="B170">
        <v>160</v>
      </c>
      <c r="C170">
        <v>4</v>
      </c>
      <c r="D170" s="5">
        <v>2138.4864368277349</v>
      </c>
      <c r="E170" s="5">
        <v>2138.4864368277349</v>
      </c>
      <c r="F170">
        <v>0</v>
      </c>
      <c r="G170" s="5">
        <v>52.881999969482422</v>
      </c>
      <c r="H170" s="3">
        <v>0.26343085123137122</v>
      </c>
      <c r="I170">
        <v>1</v>
      </c>
      <c r="J170" s="5">
        <v>0.2301990845652325</v>
      </c>
      <c r="K170" s="5">
        <v>56.395345885773253</v>
      </c>
    </row>
    <row r="171" spans="1:14" x14ac:dyDescent="0.35">
      <c r="A171" t="s">
        <v>11</v>
      </c>
      <c r="B171">
        <v>160</v>
      </c>
      <c r="C171">
        <v>5</v>
      </c>
      <c r="D171" s="5">
        <v>2105.1617148017099</v>
      </c>
      <c r="E171" s="5">
        <v>2105.1617148017099</v>
      </c>
      <c r="F171">
        <v>0</v>
      </c>
      <c r="G171" s="5">
        <v>61.449000120162957</v>
      </c>
      <c r="H171" s="3">
        <v>0.25801954644768671</v>
      </c>
      <c r="I171">
        <v>1</v>
      </c>
      <c r="J171" s="5">
        <v>0.24138970281931649</v>
      </c>
      <c r="K171" s="5">
        <v>56.428058425508219</v>
      </c>
    </row>
    <row r="172" spans="1:14" x14ac:dyDescent="0.35">
      <c r="A172" t="s">
        <v>11</v>
      </c>
      <c r="B172">
        <v>160</v>
      </c>
      <c r="C172">
        <v>6</v>
      </c>
      <c r="D172" s="5">
        <v>2056.4185611631669</v>
      </c>
      <c r="E172" s="5">
        <v>2056.4185611631669</v>
      </c>
      <c r="F172">
        <v>0</v>
      </c>
      <c r="G172" s="5">
        <v>65.071000099182129</v>
      </c>
      <c r="H172" s="3">
        <v>0.28606202359342431</v>
      </c>
      <c r="I172">
        <v>1</v>
      </c>
      <c r="J172" s="5">
        <v>0.25463003262601402</v>
      </c>
      <c r="K172" s="5">
        <v>56.640446919231778</v>
      </c>
    </row>
    <row r="173" spans="1:14" x14ac:dyDescent="0.35">
      <c r="A173" t="s">
        <v>11</v>
      </c>
      <c r="B173">
        <v>160</v>
      </c>
      <c r="C173">
        <v>7</v>
      </c>
      <c r="D173" s="5">
        <v>2279.7480347044898</v>
      </c>
      <c r="E173" s="5">
        <v>2279.7480347044898</v>
      </c>
      <c r="F173">
        <v>0</v>
      </c>
      <c r="G173" s="5">
        <v>64.447000026702881</v>
      </c>
      <c r="H173" s="3">
        <v>0.40215920972149882</v>
      </c>
      <c r="I173">
        <v>0.99999999999999978</v>
      </c>
      <c r="J173" s="5">
        <v>0.2549504363623567</v>
      </c>
      <c r="K173" s="5">
        <v>56.413460234358951</v>
      </c>
    </row>
    <row r="174" spans="1:14" x14ac:dyDescent="0.35">
      <c r="A174" t="s">
        <v>11</v>
      </c>
      <c r="B174">
        <v>160</v>
      </c>
      <c r="C174">
        <v>8</v>
      </c>
      <c r="D174" s="5">
        <v>2121.1824056699379</v>
      </c>
      <c r="E174" s="5">
        <v>2121.1824056699379</v>
      </c>
      <c r="F174">
        <v>0</v>
      </c>
      <c r="G174" s="5">
        <v>56.52400016784668</v>
      </c>
      <c r="H174" s="3">
        <v>0.37715678110785422</v>
      </c>
      <c r="I174">
        <v>1</v>
      </c>
      <c r="J174" s="5">
        <v>0.26533638143655119</v>
      </c>
      <c r="K174" s="5">
        <v>56.436292278722071</v>
      </c>
    </row>
    <row r="175" spans="1:14" x14ac:dyDescent="0.35">
      <c r="A175" t="s">
        <v>11</v>
      </c>
      <c r="B175">
        <v>160</v>
      </c>
      <c r="C175">
        <v>9</v>
      </c>
      <c r="D175" s="5">
        <v>1987.2582443425749</v>
      </c>
      <c r="E175" s="5">
        <v>1987.2582443425749</v>
      </c>
      <c r="F175">
        <v>0</v>
      </c>
      <c r="G175" s="5">
        <v>59.41700005531311</v>
      </c>
      <c r="H175" s="3">
        <v>0.25019131111053838</v>
      </c>
      <c r="I175">
        <v>0.99999999999999978</v>
      </c>
      <c r="J175" s="5">
        <v>0.29214118764774849</v>
      </c>
      <c r="K175" s="5">
        <v>56.52644664021939</v>
      </c>
    </row>
    <row r="176" spans="1:14" x14ac:dyDescent="0.35">
      <c r="A176" t="s">
        <v>11</v>
      </c>
      <c r="B176">
        <v>160</v>
      </c>
      <c r="C176">
        <v>10</v>
      </c>
      <c r="D176" s="5">
        <v>2046.8042136152851</v>
      </c>
      <c r="E176" s="5">
        <v>2046.8042136152851</v>
      </c>
      <c r="F176">
        <v>0</v>
      </c>
      <c r="G176" s="5">
        <v>61.817999839782708</v>
      </c>
      <c r="H176" s="3">
        <v>0.2638168466101008</v>
      </c>
      <c r="I176">
        <v>1</v>
      </c>
      <c r="J176" s="5">
        <v>0.27143613678300149</v>
      </c>
      <c r="K176" s="5">
        <v>56.522627247442429</v>
      </c>
    </row>
    <row r="177" spans="1:14" x14ac:dyDescent="0.35">
      <c r="A177" t="s">
        <v>11</v>
      </c>
      <c r="B177">
        <v>160</v>
      </c>
      <c r="C177">
        <v>11</v>
      </c>
      <c r="D177" s="5">
        <v>2184.7652745038572</v>
      </c>
      <c r="E177" s="5">
        <v>2184.7652745038572</v>
      </c>
      <c r="F177">
        <v>0</v>
      </c>
      <c r="G177" s="5">
        <v>55.046000003814697</v>
      </c>
      <c r="H177" s="3">
        <v>0.3725873420189374</v>
      </c>
      <c r="I177">
        <v>1</v>
      </c>
      <c r="J177" s="5">
        <v>0.29446899370102508</v>
      </c>
      <c r="K177" s="5">
        <v>56.469709603560069</v>
      </c>
    </row>
    <row r="178" spans="1:14" s="11" customFormat="1" x14ac:dyDescent="0.35">
      <c r="C178">
        <v>1</v>
      </c>
      <c r="D178" s="12"/>
      <c r="E178" s="13"/>
      <c r="F178" s="14"/>
      <c r="G178" s="15"/>
      <c r="H178" s="14"/>
      <c r="J178" s="15"/>
      <c r="K178" s="15"/>
      <c r="M178" s="14">
        <f>AVERAGE(F178:F188)</f>
        <v>6.3423219930659899E-2</v>
      </c>
      <c r="N178" s="16" t="s">
        <v>5</v>
      </c>
    </row>
    <row r="179" spans="1:14" x14ac:dyDescent="0.35">
      <c r="A179" t="s">
        <v>12</v>
      </c>
      <c r="B179">
        <v>160</v>
      </c>
      <c r="C179">
        <v>2</v>
      </c>
      <c r="D179" s="7">
        <v>1974.86733892591</v>
      </c>
      <c r="E179" s="8">
        <v>1974.86733892591</v>
      </c>
      <c r="F179" s="3">
        <f>($D$168-D179)/$D$168</f>
        <v>6.8043869102480212E-2</v>
      </c>
      <c r="G179" s="5">
        <v>100.85456299781799</v>
      </c>
      <c r="H179" s="3">
        <v>0.65131283443500176</v>
      </c>
      <c r="I179">
        <v>1</v>
      </c>
      <c r="J179" s="5">
        <v>0.35607370100584718</v>
      </c>
      <c r="K179" s="5">
        <v>56.192941846815792</v>
      </c>
      <c r="M179" s="3">
        <f>AVERAGE(H178:H188)</f>
        <v>0.64785045479632741</v>
      </c>
      <c r="N179" s="9" t="s">
        <v>13</v>
      </c>
    </row>
    <row r="180" spans="1:14" x14ac:dyDescent="0.35">
      <c r="A180" t="s">
        <v>12</v>
      </c>
      <c r="B180">
        <v>160</v>
      </c>
      <c r="C180">
        <v>3</v>
      </c>
      <c r="D180" s="7">
        <v>2158.7029038859869</v>
      </c>
      <c r="E180" s="8">
        <v>2158.7029038859869</v>
      </c>
      <c r="F180" s="3">
        <f>-($D$169-D180)/$D$169</f>
        <v>3.6582431872448112E-2</v>
      </c>
      <c r="G180" s="5">
        <v>93.301494836807251</v>
      </c>
      <c r="H180" s="3">
        <v>0.70187398910384924</v>
      </c>
      <c r="I180">
        <v>1</v>
      </c>
      <c r="J180" s="5">
        <v>0.28986397084858267</v>
      </c>
      <c r="K180" s="5">
        <v>56.298494784714393</v>
      </c>
      <c r="M180">
        <f>AVERAGE(I178:I188)</f>
        <v>1</v>
      </c>
      <c r="N180" s="9" t="s">
        <v>14</v>
      </c>
    </row>
    <row r="181" spans="1:14" x14ac:dyDescent="0.35">
      <c r="A181" t="s">
        <v>12</v>
      </c>
      <c r="B181">
        <v>160</v>
      </c>
      <c r="C181">
        <v>4</v>
      </c>
      <c r="D181" s="7">
        <v>2000.5001040189129</v>
      </c>
      <c r="E181" s="8">
        <v>2000.5001040189129</v>
      </c>
      <c r="F181" s="3">
        <f>($D$170-D181)/$D$170</f>
        <v>6.4525231693081553E-2</v>
      </c>
      <c r="G181" s="5">
        <v>86.04874849319458</v>
      </c>
      <c r="H181" s="3">
        <v>0.6188751627282093</v>
      </c>
      <c r="I181">
        <v>1</v>
      </c>
      <c r="J181" s="5">
        <v>0.32698948806900802</v>
      </c>
      <c r="K181" s="5">
        <v>56.238694976747531</v>
      </c>
      <c r="M181" s="5">
        <f>AVERAGE(J178:J188)</f>
        <v>0.31484134519058743</v>
      </c>
      <c r="N181" s="9" t="s">
        <v>15</v>
      </c>
    </row>
    <row r="182" spans="1:14" x14ac:dyDescent="0.35">
      <c r="A182" t="s">
        <v>12</v>
      </c>
      <c r="B182">
        <v>160</v>
      </c>
      <c r="C182">
        <v>5</v>
      </c>
      <c r="D182" s="7">
        <v>1900.874501807366</v>
      </c>
      <c r="E182" s="8">
        <v>1900.874501807366</v>
      </c>
      <c r="F182" s="3">
        <f>($D$171-D182)/$D$171</f>
        <v>9.7041102143350641E-2</v>
      </c>
      <c r="G182" s="5">
        <v>80.513111591339111</v>
      </c>
      <c r="H182" s="3">
        <v>0.58338298866732929</v>
      </c>
      <c r="I182">
        <v>1</v>
      </c>
      <c r="J182" s="5">
        <v>0.31963448973696351</v>
      </c>
      <c r="K182" s="5">
        <v>56.034457822009919</v>
      </c>
      <c r="M182" s="5">
        <f>AVERAGE(K178:K188)</f>
        <v>56.253599929564317</v>
      </c>
      <c r="N182" s="9" t="s">
        <v>16</v>
      </c>
    </row>
    <row r="183" spans="1:14" x14ac:dyDescent="0.35">
      <c r="A183" t="s">
        <v>12</v>
      </c>
      <c r="B183">
        <v>160</v>
      </c>
      <c r="C183">
        <v>6</v>
      </c>
      <c r="D183" s="7">
        <v>1987.620785970503</v>
      </c>
      <c r="E183" s="8">
        <v>1987.620785970503</v>
      </c>
      <c r="F183" s="3">
        <f>($D$172-D183)/$D$172</f>
        <v>3.3455142105773467E-2</v>
      </c>
      <c r="G183" s="5">
        <v>82.010568380355835</v>
      </c>
      <c r="H183" s="3">
        <v>0.62897974579990812</v>
      </c>
      <c r="I183">
        <v>1</v>
      </c>
      <c r="J183" s="5">
        <v>0.30487651736111981</v>
      </c>
      <c r="K183" s="5">
        <v>56.285843352394409</v>
      </c>
      <c r="M183" s="5">
        <f>AVERAGE(G178:G188)</f>
        <v>89.629504823684698</v>
      </c>
      <c r="N183" s="10" t="s">
        <v>6</v>
      </c>
    </row>
    <row r="184" spans="1:14" x14ac:dyDescent="0.35">
      <c r="A184" t="s">
        <v>12</v>
      </c>
      <c r="B184">
        <v>160</v>
      </c>
      <c r="C184">
        <v>7</v>
      </c>
      <c r="D184" s="7">
        <v>2071.298756685756</v>
      </c>
      <c r="E184" s="8">
        <v>2071.298756685756</v>
      </c>
      <c r="F184" s="3">
        <f>($D$173-D184)/$D$173</f>
        <v>9.1435226545004508E-2</v>
      </c>
      <c r="G184" s="5">
        <v>83.66549277305603</v>
      </c>
      <c r="H184" s="3">
        <v>0.66968436548022314</v>
      </c>
      <c r="I184">
        <v>1</v>
      </c>
      <c r="J184" s="5">
        <v>0.31236023437729438</v>
      </c>
      <c r="K184" s="5">
        <v>56.251016522533178</v>
      </c>
    </row>
    <row r="185" spans="1:14" x14ac:dyDescent="0.35">
      <c r="A185" t="s">
        <v>12</v>
      </c>
      <c r="B185">
        <v>160</v>
      </c>
      <c r="C185">
        <v>8</v>
      </c>
      <c r="D185" s="7">
        <v>1964.270957153178</v>
      </c>
      <c r="E185" s="8">
        <v>1964.270957153178</v>
      </c>
      <c r="F185" s="3">
        <f>($D$174-D185)/$D$174</f>
        <v>7.3973576292795176E-2</v>
      </c>
      <c r="G185" s="5">
        <v>93.31974720954895</v>
      </c>
      <c r="H185" s="3">
        <v>0.65025824010579902</v>
      </c>
      <c r="I185">
        <v>0.99999999999999978</v>
      </c>
      <c r="J185" s="5">
        <v>0.35452979398185253</v>
      </c>
      <c r="K185" s="5">
        <v>56.209439523622713</v>
      </c>
    </row>
    <row r="186" spans="1:14" x14ac:dyDescent="0.35">
      <c r="A186" t="s">
        <v>12</v>
      </c>
      <c r="B186">
        <v>160</v>
      </c>
      <c r="C186">
        <v>9</v>
      </c>
      <c r="D186" s="7">
        <v>2048.5654476595118</v>
      </c>
      <c r="E186" s="8">
        <v>2048.5654476595118</v>
      </c>
      <c r="F186" s="3">
        <f>-($D$175-D186)/$D$175</f>
        <v>3.0850144157896588E-2</v>
      </c>
      <c r="G186" s="5">
        <v>100.29795742034911</v>
      </c>
      <c r="H186" s="3">
        <v>0.68613073083181075</v>
      </c>
      <c r="I186">
        <v>1</v>
      </c>
      <c r="J186" s="5">
        <v>0.27687250725380269</v>
      </c>
      <c r="K186" s="5">
        <v>56.281661466858658</v>
      </c>
    </row>
    <row r="187" spans="1:14" x14ac:dyDescent="0.35">
      <c r="A187" t="s">
        <v>12</v>
      </c>
      <c r="B187">
        <v>160</v>
      </c>
      <c r="C187">
        <v>10</v>
      </c>
      <c r="D187" s="7">
        <v>1924.3506903416719</v>
      </c>
      <c r="E187" s="8">
        <v>1924.3506903416719</v>
      </c>
      <c r="F187" s="3">
        <f>($D$176-D187)/$D$176</f>
        <v>5.982669102352621E-2</v>
      </c>
      <c r="G187" s="5">
        <v>99.930967807769775</v>
      </c>
      <c r="H187" s="3">
        <v>0.59476830294584615</v>
      </c>
      <c r="I187">
        <v>1</v>
      </c>
      <c r="J187" s="5">
        <v>0.32221705856435118</v>
      </c>
      <c r="K187" s="5">
        <v>56.355722675247208</v>
      </c>
    </row>
    <row r="188" spans="1:14" x14ac:dyDescent="0.35">
      <c r="A188" t="s">
        <v>12</v>
      </c>
      <c r="B188">
        <v>160</v>
      </c>
      <c r="C188">
        <v>11</v>
      </c>
      <c r="D188" s="7">
        <v>2013.263856320985</v>
      </c>
      <c r="E188" s="8">
        <v>2013.263856320985</v>
      </c>
      <c r="F188" s="3">
        <f>($D$177-D188)/$D$177</f>
        <v>7.8498784370242589E-2</v>
      </c>
      <c r="G188" s="5">
        <v>76.352396726608276</v>
      </c>
      <c r="H188" s="3">
        <v>0.69323818786529723</v>
      </c>
      <c r="I188">
        <v>1</v>
      </c>
      <c r="J188" s="5">
        <v>0.28499569070705211</v>
      </c>
      <c r="K188" s="5">
        <v>56.387726324699337</v>
      </c>
    </row>
    <row r="189" spans="1:14" s="11" customFormat="1" x14ac:dyDescent="0.35">
      <c r="A189" s="11" t="s">
        <v>12</v>
      </c>
      <c r="B189" s="11">
        <v>160</v>
      </c>
      <c r="C189">
        <v>1</v>
      </c>
      <c r="D189" s="12">
        <v>2113.5514205786071</v>
      </c>
      <c r="E189" s="13">
        <v>2113.5514205786071</v>
      </c>
      <c r="F189" s="14">
        <f>($D$167-D189)/$D$167</f>
        <v>1.9046961892124634E-3</v>
      </c>
      <c r="G189" s="15">
        <v>116.305614233017</v>
      </c>
      <c r="H189" s="14">
        <v>0.61490050089593085</v>
      </c>
      <c r="I189" s="11">
        <v>0.99999999999999978</v>
      </c>
      <c r="J189" s="15">
        <v>0.24425031300047401</v>
      </c>
      <c r="K189" s="15">
        <v>56.45262232201047</v>
      </c>
      <c r="M189" s="14">
        <f>AVERAGE(F189:F199)</f>
        <v>7.8343792835882553E-2</v>
      </c>
      <c r="N189" s="16" t="s">
        <v>5</v>
      </c>
    </row>
    <row r="190" spans="1:14" x14ac:dyDescent="0.35">
      <c r="A190" t="s">
        <v>12</v>
      </c>
      <c r="B190">
        <v>160</v>
      </c>
      <c r="C190">
        <v>2</v>
      </c>
      <c r="D190" s="7">
        <v>1948.8781124590839</v>
      </c>
      <c r="E190" s="8">
        <v>1948.8781124590839</v>
      </c>
      <c r="F190" s="3">
        <f>($D$168-D190)/$D$168</f>
        <v>8.0308398706891937E-2</v>
      </c>
      <c r="G190" s="5">
        <v>101.71210956573491</v>
      </c>
      <c r="H190" s="3">
        <v>0.63912563146569856</v>
      </c>
      <c r="I190">
        <v>1</v>
      </c>
      <c r="J190" s="5">
        <v>0.35284193885432907</v>
      </c>
      <c r="K190" s="5">
        <v>56.320238692521151</v>
      </c>
      <c r="M190" s="3">
        <f>AVERAGE(H189:H199)</f>
        <v>0.46650316374842565</v>
      </c>
      <c r="N190" s="9" t="s">
        <v>13</v>
      </c>
    </row>
    <row r="191" spans="1:14" x14ac:dyDescent="0.35">
      <c r="A191" t="s">
        <v>12</v>
      </c>
      <c r="B191">
        <v>160</v>
      </c>
      <c r="C191">
        <v>3</v>
      </c>
      <c r="D191" s="7">
        <v>1976.607548204767</v>
      </c>
      <c r="E191" s="8">
        <v>1976.607548204767</v>
      </c>
      <c r="F191" s="3">
        <f>($D$169-D191)/$D$169</f>
        <v>5.0857505455160455E-2</v>
      </c>
      <c r="G191" s="5">
        <v>99.598044872283936</v>
      </c>
      <c r="H191" s="3">
        <v>0.38062877763242858</v>
      </c>
      <c r="I191">
        <v>1</v>
      </c>
      <c r="J191" s="5">
        <v>0.27771402808617113</v>
      </c>
      <c r="K191" s="5">
        <v>56.588249190264612</v>
      </c>
      <c r="M191">
        <f>AVERAGE(I189:I199)</f>
        <v>1</v>
      </c>
      <c r="N191" s="9" t="s">
        <v>14</v>
      </c>
    </row>
    <row r="192" spans="1:14" x14ac:dyDescent="0.35">
      <c r="A192" t="s">
        <v>12</v>
      </c>
      <c r="B192">
        <v>160</v>
      </c>
      <c r="C192">
        <v>4</v>
      </c>
      <c r="D192" s="7">
        <v>1942.4053703567449</v>
      </c>
      <c r="E192" s="8">
        <v>1942.4053703567449</v>
      </c>
      <c r="F192" s="3">
        <f>($D$170-D192)/$D$170</f>
        <v>9.1691517464969188E-2</v>
      </c>
      <c r="G192" s="5">
        <v>98.551004409790039</v>
      </c>
      <c r="H192" s="3">
        <v>0.32901828111441872</v>
      </c>
      <c r="I192">
        <v>1</v>
      </c>
      <c r="J192" s="5">
        <v>0.33724509049383822</v>
      </c>
      <c r="K192" s="5">
        <v>56.394998747402759</v>
      </c>
      <c r="M192" s="5">
        <f>AVERAGE(J189:J199)</f>
        <v>0.3064232646116738</v>
      </c>
      <c r="N192" s="9" t="s">
        <v>15</v>
      </c>
    </row>
    <row r="193" spans="1:14" x14ac:dyDescent="0.35">
      <c r="A193" t="s">
        <v>12</v>
      </c>
      <c r="B193">
        <v>160</v>
      </c>
      <c r="C193">
        <v>5</v>
      </c>
      <c r="D193" s="7">
        <v>1833.4567747111439</v>
      </c>
      <c r="E193" s="8">
        <v>1833.4567747111439</v>
      </c>
      <c r="F193" s="3">
        <f>($D$171-D193)/$D$171</f>
        <v>0.1290660656519485</v>
      </c>
      <c r="G193" s="5">
        <v>90.256789684295654</v>
      </c>
      <c r="H193" s="3">
        <v>0.47930812640495302</v>
      </c>
      <c r="I193">
        <v>1</v>
      </c>
      <c r="J193" s="5">
        <v>0.3190654683656598</v>
      </c>
      <c r="K193" s="5">
        <v>55.760452509877567</v>
      </c>
      <c r="M193" s="5">
        <f>AVERAGE(K189:K199)</f>
        <v>56.320707469970536</v>
      </c>
      <c r="N193" s="9" t="s">
        <v>16</v>
      </c>
    </row>
    <row r="194" spans="1:14" x14ac:dyDescent="0.35">
      <c r="A194" t="s">
        <v>12</v>
      </c>
      <c r="B194">
        <v>160</v>
      </c>
      <c r="C194">
        <v>6</v>
      </c>
      <c r="D194" s="7">
        <v>1922.5018238617961</v>
      </c>
      <c r="E194" s="8">
        <v>1922.5018238617961</v>
      </c>
      <c r="F194" s="3">
        <f>($D$172-D194)/$D$172</f>
        <v>6.5121342430221926E-2</v>
      </c>
      <c r="G194" s="5">
        <v>94.857833623886108</v>
      </c>
      <c r="H194" s="3">
        <v>0.42552572579850872</v>
      </c>
      <c r="I194">
        <v>1</v>
      </c>
      <c r="J194" s="5">
        <v>0.30797229382582603</v>
      </c>
      <c r="K194" s="5">
        <v>56.175514529772087</v>
      </c>
      <c r="M194" s="5">
        <f>AVERAGE(G189:G199)</f>
        <v>98.927353772250086</v>
      </c>
      <c r="N194" s="10" t="s">
        <v>6</v>
      </c>
    </row>
    <row r="195" spans="1:14" x14ac:dyDescent="0.35">
      <c r="A195" t="s">
        <v>12</v>
      </c>
      <c r="B195">
        <v>160</v>
      </c>
      <c r="C195">
        <v>7</v>
      </c>
      <c r="D195" s="7">
        <v>2010.4071734982169</v>
      </c>
      <c r="E195" s="8">
        <v>2010.4071734982169</v>
      </c>
      <c r="F195" s="3">
        <f>($D$173-D195)/$D$173</f>
        <v>0.11814501300411732</v>
      </c>
      <c r="G195" s="5">
        <v>95.390642166137695</v>
      </c>
      <c r="H195" s="3">
        <v>0.53334029794324367</v>
      </c>
      <c r="I195">
        <v>1</v>
      </c>
      <c r="J195" s="5">
        <v>0.31292133827695301</v>
      </c>
      <c r="K195" s="5">
        <v>56.404267798351647</v>
      </c>
    </row>
    <row r="196" spans="1:14" x14ac:dyDescent="0.35">
      <c r="A196" t="s">
        <v>12</v>
      </c>
      <c r="B196">
        <v>160</v>
      </c>
      <c r="C196">
        <v>8</v>
      </c>
      <c r="D196" s="7">
        <v>1924.4507190124809</v>
      </c>
      <c r="E196" s="8">
        <v>1924.4507190124809</v>
      </c>
      <c r="F196" s="3">
        <f>($D$174-D196)/$D$174</f>
        <v>9.2746237255028882E-2</v>
      </c>
      <c r="G196" s="5">
        <v>96.653282403945923</v>
      </c>
      <c r="H196" s="3">
        <v>0.47651123761133268</v>
      </c>
      <c r="I196">
        <v>0.99999999999999989</v>
      </c>
      <c r="J196" s="5">
        <v>0.34059196454193219</v>
      </c>
      <c r="K196" s="5">
        <v>56.349052262035642</v>
      </c>
    </row>
    <row r="197" spans="1:14" x14ac:dyDescent="0.35">
      <c r="A197" t="s">
        <v>12</v>
      </c>
      <c r="B197">
        <v>160</v>
      </c>
      <c r="C197">
        <v>9</v>
      </c>
      <c r="D197" s="7">
        <v>1968.0382862619931</v>
      </c>
      <c r="E197" s="8">
        <v>1968.0382862619931</v>
      </c>
      <c r="F197" s="3">
        <f>($D$175-D197)/$D$175</f>
        <v>9.6715955942304668E-3</v>
      </c>
      <c r="G197" s="5">
        <v>95.022089004516602</v>
      </c>
      <c r="H197" s="3">
        <v>0.46080001756765548</v>
      </c>
      <c r="I197">
        <v>1</v>
      </c>
      <c r="J197" s="5">
        <v>0.27401599087502548</v>
      </c>
      <c r="K197" s="5">
        <v>56.406275062109977</v>
      </c>
    </row>
    <row r="198" spans="1:14" x14ac:dyDescent="0.35">
      <c r="A198" t="s">
        <v>12</v>
      </c>
      <c r="B198">
        <v>160</v>
      </c>
      <c r="C198">
        <v>10</v>
      </c>
      <c r="D198" s="7">
        <v>1891.951107634407</v>
      </c>
      <c r="E198" s="8">
        <v>1891.951107634407</v>
      </c>
      <c r="F198" s="3">
        <f>($D$176-D198)/$D$176</f>
        <v>7.5656042209997193E-2</v>
      </c>
      <c r="G198" s="5">
        <v>103.43031978607181</v>
      </c>
      <c r="H198" s="3">
        <v>0.40899811549210119</v>
      </c>
      <c r="I198">
        <v>1</v>
      </c>
      <c r="J198" s="5">
        <v>0.3124318942783309</v>
      </c>
      <c r="K198" s="5">
        <v>56.316843115041678</v>
      </c>
    </row>
    <row r="199" spans="1:14" x14ac:dyDescent="0.35">
      <c r="A199" t="s">
        <v>12</v>
      </c>
      <c r="B199">
        <v>160</v>
      </c>
      <c r="C199">
        <v>11</v>
      </c>
      <c r="D199" s="7">
        <v>1864.4496120811871</v>
      </c>
      <c r="E199" s="8">
        <v>1864.4496120811871</v>
      </c>
      <c r="F199" s="3">
        <f>($D$177-D199)/$D$177</f>
        <v>0.14661330723292976</v>
      </c>
      <c r="G199" s="5">
        <v>96.423161745071411</v>
      </c>
      <c r="H199" s="3">
        <v>0.38337808930641137</v>
      </c>
      <c r="I199">
        <v>1</v>
      </c>
      <c r="J199" s="5">
        <v>0.29160559012987192</v>
      </c>
      <c r="K199" s="5">
        <v>56.359267940288298</v>
      </c>
    </row>
    <row r="200" spans="1:14" s="11" customFormat="1" x14ac:dyDescent="0.35">
      <c r="A200" s="11" t="s">
        <v>12</v>
      </c>
      <c r="B200" s="11">
        <v>160</v>
      </c>
      <c r="C200">
        <v>1</v>
      </c>
      <c r="D200" s="12"/>
      <c r="E200" s="13"/>
      <c r="F200" s="14">
        <f>($D$167-D200)/$D$167</f>
        <v>1</v>
      </c>
      <c r="G200" s="15"/>
      <c r="H200" s="14"/>
      <c r="J200" s="15"/>
      <c r="K200" s="15"/>
      <c r="M200" s="14">
        <f>AVERAGE(F200:F210)</f>
        <v>0.16476116322618525</v>
      </c>
      <c r="N200" s="16" t="s">
        <v>5</v>
      </c>
    </row>
    <row r="201" spans="1:14" x14ac:dyDescent="0.35">
      <c r="A201" t="s">
        <v>12</v>
      </c>
      <c r="B201">
        <v>160</v>
      </c>
      <c r="C201">
        <v>2</v>
      </c>
      <c r="D201" s="7">
        <v>1856.0103043354479</v>
      </c>
      <c r="E201" s="8">
        <v>1856.0103043354479</v>
      </c>
      <c r="F201" s="3">
        <f>($D$168-D201)/$D$168</f>
        <v>0.124133480745521</v>
      </c>
      <c r="G201" s="5">
        <v>146.20933628082281</v>
      </c>
      <c r="H201" s="3">
        <v>0.49058794243062692</v>
      </c>
      <c r="I201">
        <v>1</v>
      </c>
      <c r="J201" s="5">
        <v>0.34886717853689653</v>
      </c>
      <c r="K201" s="5">
        <v>56.478798713065103</v>
      </c>
      <c r="M201" s="3">
        <f>AVERAGE(H200:H210)</f>
        <v>0.54875889562842561</v>
      </c>
      <c r="N201" s="9" t="s">
        <v>13</v>
      </c>
    </row>
    <row r="202" spans="1:14" x14ac:dyDescent="0.35">
      <c r="A202" t="s">
        <v>12</v>
      </c>
      <c r="B202">
        <v>160</v>
      </c>
      <c r="C202">
        <v>3</v>
      </c>
      <c r="D202" s="7">
        <v>2109.6609334787699</v>
      </c>
      <c r="E202" s="8">
        <v>2109.6609334787699</v>
      </c>
      <c r="F202" s="3">
        <f>-($D$169-D202)/$D$169</f>
        <v>1.3033084318869941E-2</v>
      </c>
      <c r="G202" s="5">
        <v>105.91299605369569</v>
      </c>
      <c r="H202" s="3">
        <v>0.59376402703627529</v>
      </c>
      <c r="I202">
        <v>1</v>
      </c>
      <c r="J202" s="5">
        <v>0.28907828139865571</v>
      </c>
      <c r="K202" s="5">
        <v>56.442118035100009</v>
      </c>
      <c r="M202">
        <f>AVERAGE(I200:I210)</f>
        <v>1</v>
      </c>
      <c r="N202" s="9" t="s">
        <v>14</v>
      </c>
    </row>
    <row r="203" spans="1:14" x14ac:dyDescent="0.35">
      <c r="A203" t="s">
        <v>12</v>
      </c>
      <c r="B203">
        <v>160</v>
      </c>
      <c r="C203">
        <v>4</v>
      </c>
      <c r="D203" s="7">
        <v>1924.492267111686</v>
      </c>
      <c r="E203" s="8">
        <v>1924.492267111686</v>
      </c>
      <c r="F203" s="3">
        <f>($D$170-D203)/$D$170</f>
        <v>0.1000680509498537</v>
      </c>
      <c r="G203" s="5">
        <v>105.1597111225128</v>
      </c>
      <c r="H203" s="3">
        <v>0.52771313856923807</v>
      </c>
      <c r="I203">
        <v>1</v>
      </c>
      <c r="J203" s="5">
        <v>0.300185482574234</v>
      </c>
      <c r="K203" s="5">
        <v>56.267142704541563</v>
      </c>
      <c r="M203" s="5">
        <f>AVERAGE(J200:J210)</f>
        <v>0.30699021483913619</v>
      </c>
      <c r="N203" s="9" t="s">
        <v>15</v>
      </c>
    </row>
    <row r="204" spans="1:14" x14ac:dyDescent="0.35">
      <c r="A204" t="s">
        <v>12</v>
      </c>
      <c r="B204">
        <v>160</v>
      </c>
      <c r="C204">
        <v>5</v>
      </c>
      <c r="D204" s="7">
        <v>1868.988915460721</v>
      </c>
      <c r="E204" s="8">
        <v>1868.988915460721</v>
      </c>
      <c r="F204" s="3">
        <f>($D$171-D204)/$D$171</f>
        <v>0.11218748549359521</v>
      </c>
      <c r="G204" s="5">
        <v>109.5077970027924</v>
      </c>
      <c r="H204" s="3">
        <v>0.47797287667850269</v>
      </c>
      <c r="I204">
        <v>0.99999999999999989</v>
      </c>
      <c r="J204" s="5">
        <v>0.31792028743113798</v>
      </c>
      <c r="K204" s="5">
        <v>56.03513714153727</v>
      </c>
      <c r="M204" s="5">
        <f>AVERAGE(K200:K210)</f>
        <v>56.273365218443395</v>
      </c>
      <c r="N204" s="9" t="s">
        <v>16</v>
      </c>
    </row>
    <row r="205" spans="1:14" x14ac:dyDescent="0.35">
      <c r="A205" t="s">
        <v>12</v>
      </c>
      <c r="B205">
        <v>160</v>
      </c>
      <c r="C205">
        <v>6</v>
      </c>
      <c r="D205" s="7">
        <v>1945.128319731341</v>
      </c>
      <c r="E205" s="8">
        <v>1945.128319731341</v>
      </c>
      <c r="F205" s="3">
        <f>($D$172-D205)/$D$172</f>
        <v>5.4118477402225515E-2</v>
      </c>
      <c r="G205" s="5">
        <v>96.872051477432251</v>
      </c>
      <c r="H205" s="3">
        <v>0.48239563608862362</v>
      </c>
      <c r="I205">
        <v>1</v>
      </c>
      <c r="J205" s="5">
        <v>0.29631761094906373</v>
      </c>
      <c r="K205" s="5">
        <v>56.299362264980807</v>
      </c>
      <c r="M205" s="5">
        <f>AVERAGE(G200:G210)</f>
        <v>107.04877424240112</v>
      </c>
      <c r="N205" s="10" t="s">
        <v>6</v>
      </c>
    </row>
    <row r="206" spans="1:14" x14ac:dyDescent="0.35">
      <c r="A206" t="s">
        <v>12</v>
      </c>
      <c r="B206">
        <v>160</v>
      </c>
      <c r="C206">
        <v>7</v>
      </c>
      <c r="D206" s="7">
        <v>2021.836884441452</v>
      </c>
      <c r="E206" s="8">
        <v>2021.836884441452</v>
      </c>
      <c r="F206" s="3">
        <f>($D$173-D206)/$D$173</f>
        <v>0.1131314278318785</v>
      </c>
      <c r="G206" s="5">
        <v>100.6165404319763</v>
      </c>
      <c r="H206" s="3">
        <v>0.65064409271639834</v>
      </c>
      <c r="I206">
        <v>0.99999999999999978</v>
      </c>
      <c r="J206" s="5">
        <v>0.30516611069432931</v>
      </c>
      <c r="K206" s="5">
        <v>56.529290534537942</v>
      </c>
    </row>
    <row r="207" spans="1:14" x14ac:dyDescent="0.35">
      <c r="A207" t="s">
        <v>12</v>
      </c>
      <c r="B207">
        <v>160</v>
      </c>
      <c r="C207">
        <v>8</v>
      </c>
      <c r="D207" s="7">
        <v>1946.6684805369471</v>
      </c>
      <c r="E207" s="8">
        <v>1946.6684805369471</v>
      </c>
      <c r="F207" s="3">
        <f>($D$174-D207)/$D$174</f>
        <v>8.2272002948220624E-2</v>
      </c>
      <c r="G207" s="5">
        <v>95.713743448257446</v>
      </c>
      <c r="H207" s="3">
        <v>0.57991751481989162</v>
      </c>
      <c r="I207">
        <v>0.99999999999999978</v>
      </c>
      <c r="J207" s="5">
        <v>0.34125397574891281</v>
      </c>
      <c r="K207" s="5">
        <v>56.099550864566091</v>
      </c>
    </row>
    <row r="208" spans="1:14" x14ac:dyDescent="0.35">
      <c r="A208" t="s">
        <v>12</v>
      </c>
      <c r="B208">
        <v>160</v>
      </c>
      <c r="C208">
        <v>9</v>
      </c>
      <c r="D208" s="7">
        <v>2028.9993826807879</v>
      </c>
      <c r="E208" s="8">
        <v>2028.9993826807879</v>
      </c>
      <c r="F208" s="3">
        <f>-($D$175-D208)/$D$175</f>
        <v>2.1004385543269836E-2</v>
      </c>
      <c r="G208" s="5">
        <v>107.6900222301483</v>
      </c>
      <c r="H208" s="3">
        <v>0.63926911300996914</v>
      </c>
      <c r="I208">
        <v>0.99999999999999978</v>
      </c>
      <c r="J208" s="5">
        <v>0.26736434529855579</v>
      </c>
      <c r="K208" s="5">
        <v>55.987861317383107</v>
      </c>
    </row>
    <row r="209" spans="1:14" x14ac:dyDescent="0.35">
      <c r="A209" t="s">
        <v>12</v>
      </c>
      <c r="B209">
        <v>160</v>
      </c>
      <c r="C209">
        <v>10</v>
      </c>
      <c r="D209" s="7">
        <v>1892.6390015806819</v>
      </c>
      <c r="E209" s="8">
        <v>1892.6390015806819</v>
      </c>
      <c r="F209" s="3">
        <f>($D$176-D209)/$D$176</f>
        <v>7.5319960262491381E-2</v>
      </c>
      <c r="G209" s="5">
        <v>106.50655603408811</v>
      </c>
      <c r="H209" s="3">
        <v>0.54743768973913387</v>
      </c>
      <c r="I209">
        <v>1</v>
      </c>
      <c r="J209" s="5">
        <v>0.31985314885169619</v>
      </c>
      <c r="K209" s="5">
        <v>56.26552589188617</v>
      </c>
    </row>
    <row r="210" spans="1:14" x14ac:dyDescent="0.35">
      <c r="A210" t="s">
        <v>12</v>
      </c>
      <c r="B210">
        <v>160</v>
      </c>
      <c r="C210">
        <v>11</v>
      </c>
      <c r="D210" s="7">
        <v>1928.91956051887</v>
      </c>
      <c r="E210" s="8">
        <v>1928.91956051887</v>
      </c>
      <c r="F210" s="3">
        <f>($D$177-D210)/$D$177</f>
        <v>0.11710443999211209</v>
      </c>
      <c r="G210" s="5">
        <v>96.298988342285156</v>
      </c>
      <c r="H210" s="3">
        <v>0.49788692519559707</v>
      </c>
      <c r="I210">
        <v>1</v>
      </c>
      <c r="J210" s="5">
        <v>0.28389572690788001</v>
      </c>
      <c r="K210" s="5">
        <v>56.328864716835859</v>
      </c>
    </row>
    <row r="211" spans="1:14" s="11" customFormat="1" x14ac:dyDescent="0.35">
      <c r="A211" s="11" t="s">
        <v>12</v>
      </c>
      <c r="B211" s="11">
        <v>160</v>
      </c>
      <c r="C211">
        <v>1</v>
      </c>
      <c r="D211" s="12">
        <v>1749.5817986103989</v>
      </c>
      <c r="E211" s="13">
        <v>1749.5817986103989</v>
      </c>
      <c r="F211" s="14">
        <f>($D$167-D211)/$D$167</f>
        <v>0.17378429508574914</v>
      </c>
      <c r="G211" s="15">
        <v>133.2775962352753</v>
      </c>
      <c r="H211" s="14">
        <v>0.2950116984031117</v>
      </c>
      <c r="I211" s="11">
        <v>1</v>
      </c>
      <c r="J211" s="15">
        <v>0.23884045277754209</v>
      </c>
      <c r="K211" s="15">
        <v>56.598455790734249</v>
      </c>
      <c r="M211" s="14">
        <f>AVERAGE(F211:F221)</f>
        <v>0.12103845878213669</v>
      </c>
      <c r="N211" s="16" t="s">
        <v>5</v>
      </c>
    </row>
    <row r="212" spans="1:14" x14ac:dyDescent="0.35">
      <c r="A212" t="s">
        <v>12</v>
      </c>
      <c r="B212">
        <v>160</v>
      </c>
      <c r="C212">
        <v>2</v>
      </c>
      <c r="D212" s="7">
        <v>1720.318250833895</v>
      </c>
      <c r="E212" s="8">
        <v>1720.318250833895</v>
      </c>
      <c r="F212" s="3">
        <f>($D$168-D212)/$D$168</f>
        <v>0.18816767619868241</v>
      </c>
      <c r="G212" s="5">
        <v>112.3854217529297</v>
      </c>
      <c r="H212" s="3">
        <v>0.32420064421577899</v>
      </c>
      <c r="I212">
        <v>1</v>
      </c>
      <c r="J212" s="5">
        <v>0.33395913483036849</v>
      </c>
      <c r="K212" s="5">
        <v>56.584077477956548</v>
      </c>
      <c r="M212" s="3">
        <f>AVERAGE(H211:H221)</f>
        <v>0.38819893983830644</v>
      </c>
      <c r="N212" s="9" t="s">
        <v>13</v>
      </c>
    </row>
    <row r="213" spans="1:14" x14ac:dyDescent="0.35">
      <c r="A213" t="s">
        <v>12</v>
      </c>
      <c r="B213">
        <v>160</v>
      </c>
      <c r="C213">
        <v>3</v>
      </c>
      <c r="D213" s="7">
        <v>2045.190081441647</v>
      </c>
      <c r="E213" s="8">
        <v>2045.190081441647</v>
      </c>
      <c r="F213" s="3">
        <f>($D$169-D213)/$D$169</f>
        <v>1.7925021342278212E-2</v>
      </c>
      <c r="G213" s="5">
        <v>112.6040823459625</v>
      </c>
      <c r="H213" s="3">
        <v>0.34364726678862079</v>
      </c>
      <c r="I213">
        <v>1</v>
      </c>
      <c r="J213" s="5">
        <v>0.27077809157149219</v>
      </c>
      <c r="K213" s="5">
        <v>56.152036929727529</v>
      </c>
      <c r="M213">
        <f>AVERAGE(I211:I221)</f>
        <v>1</v>
      </c>
      <c r="N213" s="9" t="s">
        <v>14</v>
      </c>
    </row>
    <row r="214" spans="1:14" x14ac:dyDescent="0.35">
      <c r="A214" t="s">
        <v>12</v>
      </c>
      <c r="B214">
        <v>160</v>
      </c>
      <c r="C214">
        <v>4</v>
      </c>
      <c r="D214" s="7">
        <v>1871.3996696125321</v>
      </c>
      <c r="E214" s="8">
        <v>1871.3996696125321</v>
      </c>
      <c r="F214" s="3">
        <f>($D$170-D214)/$D$170</f>
        <v>0.12489523553462589</v>
      </c>
      <c r="G214" s="5">
        <v>113.677337884903</v>
      </c>
      <c r="H214" s="3">
        <v>0.42699003342530378</v>
      </c>
      <c r="I214">
        <v>1</v>
      </c>
      <c r="J214" s="5">
        <v>0.29324137089751479</v>
      </c>
      <c r="K214" s="5">
        <v>56.273476042685758</v>
      </c>
      <c r="M214" s="5">
        <f>AVERAGE(J211:J221)</f>
        <v>0.2907200642052945</v>
      </c>
      <c r="N214" s="9" t="s">
        <v>15</v>
      </c>
    </row>
    <row r="215" spans="1:14" x14ac:dyDescent="0.35">
      <c r="A215" t="s">
        <v>12</v>
      </c>
      <c r="B215">
        <v>160</v>
      </c>
      <c r="C215">
        <v>5</v>
      </c>
      <c r="D215" s="7">
        <v>1787.7604640265911</v>
      </c>
      <c r="E215" s="8">
        <v>1787.7604640265911</v>
      </c>
      <c r="F215" s="3">
        <f>($D$171-D215)/$D$171</f>
        <v>0.15077285917914177</v>
      </c>
      <c r="G215" s="5">
        <v>112.2416179180145</v>
      </c>
      <c r="H215" s="3">
        <v>0.37777875594483118</v>
      </c>
      <c r="I215">
        <v>1</v>
      </c>
      <c r="J215" s="5">
        <v>0.29434113983187249</v>
      </c>
      <c r="K215" s="5">
        <v>56.050538072521597</v>
      </c>
      <c r="M215" s="5">
        <f>AVERAGE(K211:K221)</f>
        <v>56.336970379166246</v>
      </c>
      <c r="N215" s="9" t="s">
        <v>16</v>
      </c>
    </row>
    <row r="216" spans="1:14" x14ac:dyDescent="0.35">
      <c r="A216" t="s">
        <v>12</v>
      </c>
      <c r="B216">
        <v>160</v>
      </c>
      <c r="C216">
        <v>6</v>
      </c>
      <c r="D216" s="7">
        <v>1828.06736613302</v>
      </c>
      <c r="E216" s="8">
        <v>1828.06736613302</v>
      </c>
      <c r="F216" s="3">
        <f>($D$172-D216)/$D$172</f>
        <v>0.11104315013621802</v>
      </c>
      <c r="G216" s="5">
        <v>123.52119112014771</v>
      </c>
      <c r="H216" s="3">
        <v>0.41565566584465602</v>
      </c>
      <c r="I216">
        <v>1</v>
      </c>
      <c r="J216" s="5">
        <v>0.29238701342732648</v>
      </c>
      <c r="K216" s="5">
        <v>56.029112998382139</v>
      </c>
      <c r="M216" s="5">
        <f>AVERAGE(G211:G221)</f>
        <v>115.66283186999235</v>
      </c>
      <c r="N216" s="10" t="s">
        <v>6</v>
      </c>
    </row>
    <row r="217" spans="1:14" x14ac:dyDescent="0.35">
      <c r="A217" t="s">
        <v>12</v>
      </c>
      <c r="B217">
        <v>160</v>
      </c>
      <c r="C217">
        <v>7</v>
      </c>
      <c r="D217" s="7">
        <v>1950.123860202945</v>
      </c>
      <c r="E217" s="8">
        <v>1950.123860202945</v>
      </c>
      <c r="F217" s="3">
        <f>($D$173-D217)/$D$173</f>
        <v>0.14458798493679675</v>
      </c>
      <c r="G217" s="5">
        <v>106.2744672298431</v>
      </c>
      <c r="H217" s="3">
        <v>0.4355924761114548</v>
      </c>
      <c r="I217">
        <v>1</v>
      </c>
      <c r="J217" s="5">
        <v>0.30036953237086311</v>
      </c>
      <c r="K217" s="5">
        <v>56.632081295716347</v>
      </c>
    </row>
    <row r="218" spans="1:14" x14ac:dyDescent="0.35">
      <c r="A218" t="s">
        <v>12</v>
      </c>
      <c r="B218">
        <v>160</v>
      </c>
      <c r="C218">
        <v>8</v>
      </c>
      <c r="D218" s="7">
        <v>1928.658351754646</v>
      </c>
      <c r="E218" s="8">
        <v>1928.658351754646</v>
      </c>
      <c r="F218" s="3">
        <f>($D$174-D218)/$D$174</f>
        <v>9.0762611174160956E-2</v>
      </c>
      <c r="G218" s="5">
        <v>120.8081450462341</v>
      </c>
      <c r="H218" s="3">
        <v>0.53420846522444598</v>
      </c>
      <c r="I218">
        <v>0.99999999999999978</v>
      </c>
      <c r="J218" s="5">
        <v>0.34267427851705817</v>
      </c>
      <c r="K218" s="5">
        <v>56.300020110071259</v>
      </c>
    </row>
    <row r="219" spans="1:14" x14ac:dyDescent="0.35">
      <c r="A219" t="s">
        <v>12</v>
      </c>
      <c r="B219">
        <v>160</v>
      </c>
      <c r="C219">
        <v>9</v>
      </c>
      <c r="D219" s="7">
        <v>1956.6566205606171</v>
      </c>
      <c r="E219" s="8">
        <v>1956.6566205606171</v>
      </c>
      <c r="F219" s="3">
        <f>($D$175-D219)/$D$175</f>
        <v>1.5398916506737907E-2</v>
      </c>
      <c r="G219" s="5">
        <v>112.5439314842224</v>
      </c>
      <c r="H219" s="3">
        <v>0.41478979660928739</v>
      </c>
      <c r="I219">
        <v>1</v>
      </c>
      <c r="J219" s="5">
        <v>0.26658490490795711</v>
      </c>
      <c r="K219" s="5">
        <v>56.298208555063511</v>
      </c>
    </row>
    <row r="220" spans="1:14" x14ac:dyDescent="0.35">
      <c r="A220" t="s">
        <v>12</v>
      </c>
      <c r="B220">
        <v>160</v>
      </c>
      <c r="C220">
        <v>10</v>
      </c>
      <c r="D220" s="7">
        <v>1702.3308238691491</v>
      </c>
      <c r="E220" s="8">
        <v>1702.3308238691491</v>
      </c>
      <c r="F220" s="3">
        <f>($D$176-D220)/$D$176</f>
        <v>0.16829816328044889</v>
      </c>
      <c r="G220" s="5">
        <v>106.3034105300903</v>
      </c>
      <c r="H220" s="3">
        <v>0.28872988942676309</v>
      </c>
      <c r="I220">
        <v>1</v>
      </c>
      <c r="J220" s="5">
        <v>0.27969981221942031</v>
      </c>
      <c r="K220" s="5">
        <v>56.092310146284703</v>
      </c>
    </row>
    <row r="221" spans="1:14" x14ac:dyDescent="0.35">
      <c r="A221" t="s">
        <v>12</v>
      </c>
      <c r="B221">
        <v>160</v>
      </c>
      <c r="C221">
        <v>11</v>
      </c>
      <c r="D221" s="7">
        <v>1866.254608356405</v>
      </c>
      <c r="E221" s="8">
        <v>1866.254608356405</v>
      </c>
      <c r="F221" s="3">
        <f>($D$177-D221)/$D$177</f>
        <v>0.14578713322866385</v>
      </c>
      <c r="G221" s="5">
        <v>118.65394902229311</v>
      </c>
      <c r="H221" s="3">
        <v>0.41358364622711719</v>
      </c>
      <c r="I221">
        <v>1</v>
      </c>
      <c r="J221" s="5">
        <v>0.28504497490682468</v>
      </c>
      <c r="K221" s="5">
        <v>56.696356751685038</v>
      </c>
    </row>
    <row r="222" spans="1:14" s="11" customFormat="1" x14ac:dyDescent="0.35">
      <c r="A222" s="11" t="s">
        <v>11</v>
      </c>
      <c r="B222" s="11">
        <v>200</v>
      </c>
      <c r="C222">
        <v>1</v>
      </c>
      <c r="D222" s="5">
        <v>2117.584776232231</v>
      </c>
      <c r="E222" s="5">
        <v>2117.584776232231</v>
      </c>
      <c r="F222">
        <v>0</v>
      </c>
      <c r="G222" s="5">
        <v>62.523000001907349</v>
      </c>
      <c r="H222" s="3">
        <v>0.38804305435656428</v>
      </c>
      <c r="I222">
        <v>0.99999999999999978</v>
      </c>
      <c r="J222" s="5">
        <v>0.26612556711486568</v>
      </c>
      <c r="K222" s="5">
        <v>56.421129910915411</v>
      </c>
    </row>
    <row r="223" spans="1:14" x14ac:dyDescent="0.35">
      <c r="A223" t="s">
        <v>11</v>
      </c>
      <c r="B223">
        <v>200</v>
      </c>
      <c r="C223">
        <v>2</v>
      </c>
      <c r="D223" s="5">
        <v>2119.0561158968021</v>
      </c>
      <c r="E223" s="5">
        <v>2119.0561158968021</v>
      </c>
      <c r="F223">
        <v>0</v>
      </c>
      <c r="G223" s="5">
        <v>58.853999853134162</v>
      </c>
      <c r="H223" s="3">
        <v>0.3298658488094568</v>
      </c>
      <c r="I223">
        <v>0.99999999999999978</v>
      </c>
      <c r="J223" s="5">
        <v>0.28572585641512138</v>
      </c>
      <c r="K223" s="5">
        <v>56.273416208332833</v>
      </c>
    </row>
    <row r="224" spans="1:14" x14ac:dyDescent="0.35">
      <c r="A224" t="s">
        <v>11</v>
      </c>
      <c r="B224">
        <v>200</v>
      </c>
      <c r="C224">
        <v>3</v>
      </c>
      <c r="D224" s="5">
        <v>2082.5192840540212</v>
      </c>
      <c r="E224" s="5">
        <v>2082.5192840540212</v>
      </c>
      <c r="F224">
        <v>0</v>
      </c>
      <c r="G224" s="5">
        <v>55.017999887466431</v>
      </c>
      <c r="H224" s="3">
        <v>0.2815708757068231</v>
      </c>
      <c r="I224">
        <v>0.99999999999999978</v>
      </c>
      <c r="J224" s="5">
        <v>0.26712682579484759</v>
      </c>
      <c r="K224" s="5">
        <v>56.294145399648819</v>
      </c>
    </row>
    <row r="225" spans="1:14" x14ac:dyDescent="0.35">
      <c r="A225" t="s">
        <v>11</v>
      </c>
      <c r="B225">
        <v>200</v>
      </c>
      <c r="C225">
        <v>4</v>
      </c>
      <c r="D225" s="5">
        <v>2138.4864368277349</v>
      </c>
      <c r="E225" s="5">
        <v>2138.4864368277349</v>
      </c>
      <c r="F225">
        <v>0</v>
      </c>
      <c r="G225" s="5">
        <v>52.881999969482422</v>
      </c>
      <c r="H225" s="3">
        <v>0.26343085123137122</v>
      </c>
      <c r="I225">
        <v>1</v>
      </c>
      <c r="J225" s="5">
        <v>0.2301990845652325</v>
      </c>
      <c r="K225" s="5">
        <v>56.395345885773253</v>
      </c>
    </row>
    <row r="226" spans="1:14" x14ac:dyDescent="0.35">
      <c r="A226" t="s">
        <v>11</v>
      </c>
      <c r="B226">
        <v>200</v>
      </c>
      <c r="C226">
        <v>5</v>
      </c>
      <c r="D226" s="5">
        <v>2105.1617148017099</v>
      </c>
      <c r="E226" s="5">
        <v>2105.1617148017099</v>
      </c>
      <c r="F226">
        <v>0</v>
      </c>
      <c r="G226" s="5">
        <v>61.449000120162957</v>
      </c>
      <c r="H226" s="3">
        <v>0.25801954644768671</v>
      </c>
      <c r="I226">
        <v>1</v>
      </c>
      <c r="J226" s="5">
        <v>0.24138970281931649</v>
      </c>
      <c r="K226" s="5">
        <v>56.428058425508219</v>
      </c>
    </row>
    <row r="227" spans="1:14" x14ac:dyDescent="0.35">
      <c r="A227" t="s">
        <v>11</v>
      </c>
      <c r="B227">
        <v>200</v>
      </c>
      <c r="C227">
        <v>6</v>
      </c>
      <c r="D227" s="5">
        <v>2056.4185611631669</v>
      </c>
      <c r="E227" s="5">
        <v>2056.4185611631669</v>
      </c>
      <c r="F227">
        <v>0</v>
      </c>
      <c r="G227" s="5">
        <v>65.071000099182129</v>
      </c>
      <c r="H227" s="3">
        <v>0.28606202359342431</v>
      </c>
      <c r="I227">
        <v>1</v>
      </c>
      <c r="J227" s="5">
        <v>0.25463003262601402</v>
      </c>
      <c r="K227" s="5">
        <v>56.640446919231778</v>
      </c>
    </row>
    <row r="228" spans="1:14" x14ac:dyDescent="0.35">
      <c r="A228" t="s">
        <v>11</v>
      </c>
      <c r="B228">
        <v>200</v>
      </c>
      <c r="C228">
        <v>7</v>
      </c>
      <c r="D228" s="5">
        <v>2279.7480347044898</v>
      </c>
      <c r="E228" s="5">
        <v>2279.7480347044898</v>
      </c>
      <c r="F228">
        <v>0</v>
      </c>
      <c r="G228" s="5">
        <v>64.447000026702881</v>
      </c>
      <c r="H228" s="3">
        <v>0.40215920972149882</v>
      </c>
      <c r="I228">
        <v>0.99999999999999978</v>
      </c>
      <c r="J228" s="5">
        <v>0.2549504363623567</v>
      </c>
      <c r="K228" s="5">
        <v>56.413460234358951</v>
      </c>
    </row>
    <row r="229" spans="1:14" x14ac:dyDescent="0.35">
      <c r="A229" t="s">
        <v>11</v>
      </c>
      <c r="B229">
        <v>200</v>
      </c>
      <c r="C229">
        <v>8</v>
      </c>
      <c r="D229" s="5">
        <v>2121.1824056699379</v>
      </c>
      <c r="E229" s="5">
        <v>2121.1824056699379</v>
      </c>
      <c r="F229">
        <v>0</v>
      </c>
      <c r="G229" s="5">
        <v>56.52400016784668</v>
      </c>
      <c r="H229" s="3">
        <v>0.37715678110785422</v>
      </c>
      <c r="I229">
        <v>1</v>
      </c>
      <c r="J229" s="5">
        <v>0.26533638143655119</v>
      </c>
      <c r="K229" s="5">
        <v>56.436292278722071</v>
      </c>
    </row>
    <row r="230" spans="1:14" x14ac:dyDescent="0.35">
      <c r="A230" t="s">
        <v>11</v>
      </c>
      <c r="B230">
        <v>200</v>
      </c>
      <c r="C230">
        <v>9</v>
      </c>
      <c r="D230" s="5">
        <v>1987.2582443425749</v>
      </c>
      <c r="E230" s="5">
        <v>1987.2582443425749</v>
      </c>
      <c r="F230">
        <v>0</v>
      </c>
      <c r="G230" s="5">
        <v>59.41700005531311</v>
      </c>
      <c r="H230" s="3">
        <v>0.25019131111053838</v>
      </c>
      <c r="I230">
        <v>0.99999999999999978</v>
      </c>
      <c r="J230" s="5">
        <v>0.29214118764774849</v>
      </c>
      <c r="K230" s="5">
        <v>56.52644664021939</v>
      </c>
    </row>
    <row r="231" spans="1:14" x14ac:dyDescent="0.35">
      <c r="A231" t="s">
        <v>11</v>
      </c>
      <c r="B231">
        <v>200</v>
      </c>
      <c r="C231">
        <v>10</v>
      </c>
      <c r="D231" s="5">
        <v>2046.8042136152851</v>
      </c>
      <c r="E231" s="5">
        <v>2046.8042136152851</v>
      </c>
      <c r="F231">
        <v>0</v>
      </c>
      <c r="G231" s="5">
        <v>61.817999839782708</v>
      </c>
      <c r="H231" s="3">
        <v>0.2638168466101008</v>
      </c>
      <c r="I231">
        <v>1</v>
      </c>
      <c r="J231" s="5">
        <v>0.27143613678300149</v>
      </c>
      <c r="K231" s="5">
        <v>56.522627247442429</v>
      </c>
    </row>
    <row r="232" spans="1:14" x14ac:dyDescent="0.35">
      <c r="A232" t="s">
        <v>11</v>
      </c>
      <c r="B232">
        <v>200</v>
      </c>
      <c r="C232">
        <v>11</v>
      </c>
      <c r="D232" s="5">
        <v>2184.7652745038572</v>
      </c>
      <c r="E232" s="5">
        <v>2184.7652745038572</v>
      </c>
      <c r="F232">
        <v>0</v>
      </c>
      <c r="G232" s="5">
        <v>55.046000003814697</v>
      </c>
      <c r="H232" s="3">
        <v>0.3725873420189374</v>
      </c>
      <c r="I232">
        <v>1</v>
      </c>
      <c r="J232" s="5">
        <v>0.29446899370102508</v>
      </c>
      <c r="K232" s="5">
        <v>56.469709603560069</v>
      </c>
    </row>
    <row r="233" spans="1:14" s="11" customFormat="1" x14ac:dyDescent="0.35">
      <c r="A233" s="11" t="s">
        <v>12</v>
      </c>
      <c r="B233" s="11">
        <v>200</v>
      </c>
      <c r="C233">
        <v>1</v>
      </c>
      <c r="D233" s="12">
        <v>2164.4042929601619</v>
      </c>
      <c r="E233" s="13">
        <v>2164.4042929601619</v>
      </c>
      <c r="F233" s="14">
        <f>-($D$222-D233)/$D$222</f>
        <v>2.2109866510863288E-2</v>
      </c>
      <c r="G233" s="15">
        <v>126.4973206520081</v>
      </c>
      <c r="H233" s="14">
        <v>0.71717920518628731</v>
      </c>
      <c r="I233" s="11">
        <v>1</v>
      </c>
      <c r="J233" s="15">
        <v>0.2431152170525871</v>
      </c>
      <c r="K233" s="15">
        <v>56.292545311762822</v>
      </c>
      <c r="M233" s="14">
        <f>AVERAGE(F233:F243)</f>
        <v>6.0673611557991093E-2</v>
      </c>
      <c r="N233" s="16" t="s">
        <v>5</v>
      </c>
    </row>
    <row r="234" spans="1:14" x14ac:dyDescent="0.35">
      <c r="A234" t="s">
        <v>12</v>
      </c>
      <c r="B234">
        <v>200</v>
      </c>
      <c r="C234">
        <v>2</v>
      </c>
      <c r="D234" s="7">
        <v>1978.3175715606139</v>
      </c>
      <c r="E234" s="8">
        <v>1978.3175715606139</v>
      </c>
      <c r="F234" s="3">
        <f>($D$223-D234)/$D$223</f>
        <v>6.6415675960816378E-2</v>
      </c>
      <c r="G234" s="5">
        <v>90.393275499343872</v>
      </c>
      <c r="H234" s="3">
        <v>0.66799490509188164</v>
      </c>
      <c r="I234">
        <v>1</v>
      </c>
      <c r="J234" s="5">
        <v>0.36314966098574541</v>
      </c>
      <c r="K234" s="5">
        <v>56.189269895040397</v>
      </c>
      <c r="M234" s="3">
        <f>AVERAGE(H233:H243)</f>
        <v>0.65218682630946623</v>
      </c>
      <c r="N234" s="9" t="s">
        <v>13</v>
      </c>
    </row>
    <row r="235" spans="1:14" x14ac:dyDescent="0.35">
      <c r="A235" t="s">
        <v>12</v>
      </c>
      <c r="B235">
        <v>200</v>
      </c>
      <c r="C235">
        <v>3</v>
      </c>
      <c r="D235" s="7">
        <v>2139.0198303827829</v>
      </c>
      <c r="E235" s="8">
        <v>2139.0198303827829</v>
      </c>
      <c r="F235" s="3">
        <f>-($D$224-D235)/$D$224</f>
        <v>2.7130863450528311E-2</v>
      </c>
      <c r="G235" s="5">
        <v>98.059702157974243</v>
      </c>
      <c r="H235" s="3">
        <v>0.7121430860330179</v>
      </c>
      <c r="I235">
        <v>1</v>
      </c>
      <c r="J235" s="5">
        <v>0.29849461050877818</v>
      </c>
      <c r="K235" s="5">
        <v>56.367651023942109</v>
      </c>
      <c r="M235">
        <f>AVERAGE(I233:I243)</f>
        <v>1</v>
      </c>
      <c r="N235" s="9" t="s">
        <v>14</v>
      </c>
    </row>
    <row r="236" spans="1:14" x14ac:dyDescent="0.35">
      <c r="A236" t="s">
        <v>12</v>
      </c>
      <c r="B236">
        <v>200</v>
      </c>
      <c r="C236">
        <v>4</v>
      </c>
      <c r="D236" s="7">
        <v>2025.594166483002</v>
      </c>
      <c r="E236" s="8">
        <v>2025.594166483002</v>
      </c>
      <c r="F236" s="3">
        <f>($D$225-D236)/$D$225</f>
        <v>5.2790734792874855E-2</v>
      </c>
      <c r="G236" s="5">
        <v>98.514549732208252</v>
      </c>
      <c r="H236" s="3">
        <v>0.64145598101049128</v>
      </c>
      <c r="I236">
        <v>1</v>
      </c>
      <c r="J236" s="5">
        <v>0.33727377226971972</v>
      </c>
      <c r="K236" s="5">
        <v>56.309918356831218</v>
      </c>
      <c r="M236" s="5">
        <f>AVERAGE(J233:J243)</f>
        <v>0.31159042482139604</v>
      </c>
      <c r="N236" s="9" t="s">
        <v>15</v>
      </c>
    </row>
    <row r="237" spans="1:14" x14ac:dyDescent="0.35">
      <c r="A237" t="s">
        <v>12</v>
      </c>
      <c r="B237">
        <v>200</v>
      </c>
      <c r="C237">
        <v>5</v>
      </c>
      <c r="D237" s="7">
        <v>1903.5524863180169</v>
      </c>
      <c r="E237" s="8">
        <v>1903.5524863180169</v>
      </c>
      <c r="F237" s="3">
        <f>($D$226-D237)/$D$226</f>
        <v>9.5768998203866251E-2</v>
      </c>
      <c r="G237" s="5">
        <v>103.99380254745481</v>
      </c>
      <c r="H237" s="3">
        <v>0.5893240183523708</v>
      </c>
      <c r="I237">
        <v>1</v>
      </c>
      <c r="J237" s="5">
        <v>0.32120862526741462</v>
      </c>
      <c r="K237" s="5">
        <v>56.059793305187171</v>
      </c>
      <c r="M237" s="5">
        <f>AVERAGE(K233:K243)</f>
        <v>56.27151013547325</v>
      </c>
      <c r="N237" s="9" t="s">
        <v>16</v>
      </c>
    </row>
    <row r="238" spans="1:14" x14ac:dyDescent="0.35">
      <c r="A238" t="s">
        <v>12</v>
      </c>
      <c r="B238">
        <v>200</v>
      </c>
      <c r="C238">
        <v>6</v>
      </c>
      <c r="D238" s="7">
        <v>1987.6207859704459</v>
      </c>
      <c r="E238" s="8">
        <v>1987.6207859704459</v>
      </c>
      <c r="F238" s="3">
        <f>($D$227-D238)/$D$227</f>
        <v>3.3455142105801215E-2</v>
      </c>
      <c r="G238" s="5">
        <v>115.93304395675661</v>
      </c>
      <c r="H238" s="3">
        <v>0.66581590590207596</v>
      </c>
      <c r="I238">
        <v>1</v>
      </c>
      <c r="J238" s="5">
        <v>0.30486578733218372</v>
      </c>
      <c r="K238" s="5">
        <v>56.285923244849151</v>
      </c>
      <c r="M238" s="5">
        <f>AVERAGE(G233:G243)</f>
        <v>106.81589375842701</v>
      </c>
      <c r="N238" s="10" t="s">
        <v>6</v>
      </c>
    </row>
    <row r="239" spans="1:14" x14ac:dyDescent="0.35">
      <c r="A239" t="s">
        <v>12</v>
      </c>
      <c r="B239">
        <v>200</v>
      </c>
      <c r="C239">
        <v>7</v>
      </c>
      <c r="D239" s="7">
        <v>2071.298756685756</v>
      </c>
      <c r="E239" s="8">
        <v>2071.298756685756</v>
      </c>
      <c r="F239" s="3">
        <f>($D$228-D239)/$D$228</f>
        <v>9.1435226545004508E-2</v>
      </c>
      <c r="G239" s="5">
        <v>104.1225373744965</v>
      </c>
      <c r="H239" s="3">
        <v>0.66968436548022314</v>
      </c>
      <c r="I239">
        <v>1</v>
      </c>
      <c r="J239" s="5">
        <v>0.31236023437729438</v>
      </c>
      <c r="K239" s="5">
        <v>56.251016522533178</v>
      </c>
    </row>
    <row r="240" spans="1:14" x14ac:dyDescent="0.35">
      <c r="A240" t="s">
        <v>12</v>
      </c>
      <c r="B240">
        <v>200</v>
      </c>
      <c r="C240">
        <v>8</v>
      </c>
      <c r="D240" s="7">
        <v>1975.284399345948</v>
      </c>
      <c r="E240" s="8">
        <v>1975.284399345948</v>
      </c>
      <c r="F240" s="3">
        <f>($D$229-D240)/$D$229</f>
        <v>6.8781452238149493E-2</v>
      </c>
      <c r="G240" s="5">
        <v>99.37116813659668</v>
      </c>
      <c r="H240" s="3">
        <v>0.6537118742266913</v>
      </c>
      <c r="I240">
        <v>1</v>
      </c>
      <c r="J240" s="5">
        <v>0.3550805024219324</v>
      </c>
      <c r="K240" s="5">
        <v>56.170859552758891</v>
      </c>
    </row>
    <row r="241" spans="1:14" x14ac:dyDescent="0.35">
      <c r="A241" t="s">
        <v>12</v>
      </c>
      <c r="B241">
        <v>200</v>
      </c>
      <c r="C241">
        <v>9</v>
      </c>
      <c r="D241" s="7">
        <v>2062.6950787976202</v>
      </c>
      <c r="E241" s="8">
        <v>2062.6950787976202</v>
      </c>
      <c r="F241" s="3">
        <f>-($D$230-D241)/$D$230</f>
        <v>3.7960257389698902E-2</v>
      </c>
      <c r="G241" s="5">
        <v>100.0447344779968</v>
      </c>
      <c r="H241" s="3">
        <v>0.69025579387271185</v>
      </c>
      <c r="I241">
        <v>0.99999999999999978</v>
      </c>
      <c r="J241" s="5">
        <v>0.27388013218858709</v>
      </c>
      <c r="K241" s="5">
        <v>56.21204280033173</v>
      </c>
    </row>
    <row r="242" spans="1:14" x14ac:dyDescent="0.35">
      <c r="A242" t="s">
        <v>12</v>
      </c>
      <c r="B242">
        <v>200</v>
      </c>
      <c r="C242">
        <v>10</v>
      </c>
      <c r="D242" s="7">
        <v>1930.7387305120981</v>
      </c>
      <c r="E242" s="8">
        <v>1930.7387305120981</v>
      </c>
      <c r="F242" s="3">
        <f>($D$231-D242)/$D$231</f>
        <v>5.6705708504566604E-2</v>
      </c>
      <c r="G242" s="5">
        <v>132.1084158420563</v>
      </c>
      <c r="H242" s="3">
        <v>0.62574550171877785</v>
      </c>
      <c r="I242">
        <v>1</v>
      </c>
      <c r="J242" s="5">
        <v>0.32227419645519029</v>
      </c>
      <c r="K242" s="5">
        <v>56.387220382547973</v>
      </c>
    </row>
    <row r="243" spans="1:14" x14ac:dyDescent="0.35">
      <c r="A243" t="s">
        <v>12</v>
      </c>
      <c r="B243">
        <v>200</v>
      </c>
      <c r="C243">
        <v>11</v>
      </c>
      <c r="D243" s="7">
        <v>1933.832307951759</v>
      </c>
      <c r="E243" s="8">
        <v>1933.832307951759</v>
      </c>
      <c r="F243" s="3">
        <f>($D$232-D243)/$D$232</f>
        <v>0.11485580143573228</v>
      </c>
      <c r="G243" s="5">
        <v>105.9362809658051</v>
      </c>
      <c r="H243" s="3">
        <v>0.54074445252959935</v>
      </c>
      <c r="I243">
        <v>1</v>
      </c>
      <c r="J243" s="5">
        <v>0.29579193417592342</v>
      </c>
      <c r="K243" s="5">
        <v>56.460371094421099</v>
      </c>
    </row>
    <row r="244" spans="1:14" s="11" customFormat="1" x14ac:dyDescent="0.35">
      <c r="A244" s="11" t="s">
        <v>12</v>
      </c>
      <c r="B244" s="11">
        <v>200</v>
      </c>
      <c r="C244">
        <v>1</v>
      </c>
      <c r="D244" s="12">
        <v>2164.4042929601619</v>
      </c>
      <c r="E244" s="13">
        <v>2164.4042929601619</v>
      </c>
      <c r="F244" s="14">
        <f>-($D$222-D244)/$D$222</f>
        <v>2.2109866510863288E-2</v>
      </c>
      <c r="G244" s="15">
        <v>127.6482853889465</v>
      </c>
      <c r="H244" s="14">
        <v>0.71717920518628731</v>
      </c>
      <c r="I244" s="11">
        <v>1</v>
      </c>
      <c r="J244" s="15">
        <v>0.2431152170525871</v>
      </c>
      <c r="K244" s="15">
        <v>56.292545311762822</v>
      </c>
      <c r="M244" s="14">
        <f>AVERAGE(F244:F254)</f>
        <v>7.6865706778128623E-2</v>
      </c>
      <c r="N244" s="16" t="s">
        <v>5</v>
      </c>
    </row>
    <row r="245" spans="1:14" x14ac:dyDescent="0.35">
      <c r="A245" t="s">
        <v>12</v>
      </c>
      <c r="B245">
        <v>200</v>
      </c>
      <c r="C245">
        <v>2</v>
      </c>
      <c r="D245" s="7">
        <v>1837.0913628175131</v>
      </c>
      <c r="E245" s="8">
        <v>1837.0913628175131</v>
      </c>
      <c r="F245" s="3">
        <f>($D$223-D245)/$D$223</f>
        <v>0.13306148476391774</v>
      </c>
      <c r="G245" s="5">
        <v>121.2229368686676</v>
      </c>
      <c r="H245" s="3">
        <v>0.45888532354042272</v>
      </c>
      <c r="I245">
        <v>1</v>
      </c>
      <c r="J245" s="5">
        <v>0.3675950223587186</v>
      </c>
      <c r="K245" s="5">
        <v>56.552551929892672</v>
      </c>
      <c r="M245" s="3">
        <f>AVERAGE(H244:H254)</f>
        <v>0.55890338370224868</v>
      </c>
      <c r="N245" s="9" t="s">
        <v>13</v>
      </c>
    </row>
    <row r="246" spans="1:14" x14ac:dyDescent="0.35">
      <c r="A246" t="s">
        <v>12</v>
      </c>
      <c r="B246">
        <v>200</v>
      </c>
      <c r="C246">
        <v>3</v>
      </c>
      <c r="D246" s="7">
        <v>2147.781562258705</v>
      </c>
      <c r="E246" s="8">
        <v>2147.781562258705</v>
      </c>
      <c r="F246" s="3">
        <f>-($D$224-D246)/$D$224</f>
        <v>3.1338138717082263E-2</v>
      </c>
      <c r="G246" s="5">
        <v>103.6975343227386</v>
      </c>
      <c r="H246" s="3">
        <v>0.64457266831241744</v>
      </c>
      <c r="I246">
        <v>1</v>
      </c>
      <c r="J246" s="5">
        <v>0.29408478676663868</v>
      </c>
      <c r="K246" s="5">
        <v>56.297755531678867</v>
      </c>
      <c r="M246">
        <f>AVERAGE(I244:I254)</f>
        <v>1</v>
      </c>
      <c r="N246" s="9" t="s">
        <v>14</v>
      </c>
    </row>
    <row r="247" spans="1:14" x14ac:dyDescent="0.35">
      <c r="A247" t="s">
        <v>12</v>
      </c>
      <c r="B247">
        <v>200</v>
      </c>
      <c r="C247">
        <v>4</v>
      </c>
      <c r="D247" s="7">
        <v>1880.8795874412831</v>
      </c>
      <c r="E247" s="8">
        <v>1880.8795874412831</v>
      </c>
      <c r="F247" s="3">
        <f>($D$225-D247)/$D$225</f>
        <v>0.12046223204884569</v>
      </c>
      <c r="G247" s="5">
        <v>111.6779429912567</v>
      </c>
      <c r="H247" s="3">
        <v>0.36442678431138048</v>
      </c>
      <c r="I247">
        <v>0.99999999999999989</v>
      </c>
      <c r="J247" s="5">
        <v>0.31829818830584711</v>
      </c>
      <c r="K247" s="5">
        <v>56.36297760080663</v>
      </c>
      <c r="M247" s="5">
        <f>AVERAGE(J244:J254)</f>
        <v>0.30901524072284109</v>
      </c>
      <c r="N247" s="9" t="s">
        <v>15</v>
      </c>
    </row>
    <row r="248" spans="1:14" x14ac:dyDescent="0.35">
      <c r="A248" t="s">
        <v>12</v>
      </c>
      <c r="B248">
        <v>200</v>
      </c>
      <c r="C248">
        <v>5</v>
      </c>
      <c r="D248" s="7">
        <v>1820.8354674355239</v>
      </c>
      <c r="E248" s="8">
        <v>1820.8354674355239</v>
      </c>
      <c r="F248" s="3">
        <f>($D$226-D248)/$D$226</f>
        <v>0.13506147549950448</v>
      </c>
      <c r="G248" s="5">
        <v>118.9262363910675</v>
      </c>
      <c r="H248" s="3">
        <v>0.46304324001464348</v>
      </c>
      <c r="I248">
        <v>1</v>
      </c>
      <c r="J248" s="5">
        <v>0.3176038645451883</v>
      </c>
      <c r="K248" s="5">
        <v>56.136061986489032</v>
      </c>
      <c r="M248" s="5">
        <f>AVERAGE(K244:K254)</f>
        <v>56.303022289361088</v>
      </c>
      <c r="N248" s="9" t="s">
        <v>16</v>
      </c>
    </row>
    <row r="249" spans="1:14" x14ac:dyDescent="0.35">
      <c r="A249" t="s">
        <v>12</v>
      </c>
      <c r="B249">
        <v>200</v>
      </c>
      <c r="C249">
        <v>6</v>
      </c>
      <c r="D249" s="7">
        <v>1973.104996975575</v>
      </c>
      <c r="E249" s="8">
        <v>1973.104996975575</v>
      </c>
      <c r="F249" s="3">
        <f>($D$227-D249)/$D$227</f>
        <v>4.0513913733820572E-2</v>
      </c>
      <c r="G249" s="5">
        <v>117.38442444801331</v>
      </c>
      <c r="H249" s="3">
        <v>0.64335590724993186</v>
      </c>
      <c r="I249">
        <v>1</v>
      </c>
      <c r="J249" s="5">
        <v>0.30440728993604232</v>
      </c>
      <c r="K249" s="5">
        <v>56.363471144981673</v>
      </c>
      <c r="M249" s="5">
        <f>AVERAGE(G244:G254)</f>
        <v>115.60936672037298</v>
      </c>
      <c r="N249" s="10" t="s">
        <v>6</v>
      </c>
    </row>
    <row r="250" spans="1:14" x14ac:dyDescent="0.35">
      <c r="A250" t="s">
        <v>12</v>
      </c>
      <c r="B250">
        <v>200</v>
      </c>
      <c r="C250">
        <v>7</v>
      </c>
      <c r="D250" s="7">
        <v>2035.585010487534</v>
      </c>
      <c r="E250" s="8">
        <v>2035.585010487534</v>
      </c>
      <c r="F250" s="3">
        <f>($D$228-D250)/$D$228</f>
        <v>0.10710088154483494</v>
      </c>
      <c r="G250" s="5">
        <v>111.6970977783203</v>
      </c>
      <c r="H250" s="3">
        <v>0.56690270781557828</v>
      </c>
      <c r="I250">
        <v>1</v>
      </c>
      <c r="J250" s="5">
        <v>0.31279906522759271</v>
      </c>
      <c r="K250" s="5">
        <v>56.37886258252901</v>
      </c>
    </row>
    <row r="251" spans="1:14" x14ac:dyDescent="0.35">
      <c r="A251" t="s">
        <v>12</v>
      </c>
      <c r="B251">
        <v>200</v>
      </c>
      <c r="C251">
        <v>8</v>
      </c>
      <c r="D251" s="7">
        <v>1973.1653372552751</v>
      </c>
      <c r="E251" s="8">
        <v>1973.1653372552751</v>
      </c>
      <c r="F251" s="3">
        <f>($D$229-D251)/$D$229</f>
        <v>6.9780452647076469E-2</v>
      </c>
      <c r="G251" s="5">
        <v>116.51079034805301</v>
      </c>
      <c r="H251" s="3">
        <v>0.64438665660145167</v>
      </c>
      <c r="I251">
        <v>1</v>
      </c>
      <c r="J251" s="5">
        <v>0.35500257659301448</v>
      </c>
      <c r="K251" s="5">
        <v>56.15665010699513</v>
      </c>
    </row>
    <row r="252" spans="1:14" x14ac:dyDescent="0.35">
      <c r="A252" t="s">
        <v>12</v>
      </c>
      <c r="B252">
        <v>200</v>
      </c>
      <c r="C252">
        <v>9</v>
      </c>
      <c r="D252" s="7">
        <v>2057.9537872070941</v>
      </c>
      <c r="E252" s="8">
        <v>2057.9537872070941</v>
      </c>
      <c r="F252" s="3">
        <f>-($D$230-D252)/$D$230</f>
        <v>3.5574411662791579E-2</v>
      </c>
      <c r="G252" s="5">
        <v>108.02144193649291</v>
      </c>
      <c r="H252" s="3">
        <v>0.68065399875423827</v>
      </c>
      <c r="I252">
        <v>1</v>
      </c>
      <c r="J252" s="5">
        <v>0.27353291343991959</v>
      </c>
      <c r="K252" s="5">
        <v>56.220377099351317</v>
      </c>
    </row>
    <row r="253" spans="1:14" x14ac:dyDescent="0.35">
      <c r="A253" t="s">
        <v>12</v>
      </c>
      <c r="B253">
        <v>200</v>
      </c>
      <c r="C253">
        <v>10</v>
      </c>
      <c r="D253" s="7">
        <v>1912.796169926791</v>
      </c>
      <c r="E253" s="8">
        <v>1912.796169926791</v>
      </c>
      <c r="F253" s="3">
        <f>($D$231-D253)/$D$231</f>
        <v>6.547184278646502E-2</v>
      </c>
      <c r="G253" s="5">
        <v>110.3051326274872</v>
      </c>
      <c r="H253" s="3">
        <v>0.45659520501060091</v>
      </c>
      <c r="I253">
        <v>1</v>
      </c>
      <c r="J253" s="5">
        <v>0.32631074778046087</v>
      </c>
      <c r="K253" s="5">
        <v>56.306790890124347</v>
      </c>
    </row>
    <row r="254" spans="1:14" x14ac:dyDescent="0.35">
      <c r="A254" t="s">
        <v>12</v>
      </c>
      <c r="B254">
        <v>200</v>
      </c>
      <c r="C254">
        <v>11</v>
      </c>
      <c r="D254" s="7">
        <v>1998.955194357769</v>
      </c>
      <c r="E254" s="8">
        <v>1998.955194357769</v>
      </c>
      <c r="F254" s="3">
        <f>($D$232-D254)/$D$232</f>
        <v>8.5048074644212851E-2</v>
      </c>
      <c r="G254" s="5">
        <v>124.6112108230591</v>
      </c>
      <c r="H254" s="3">
        <v>0.50793552392778352</v>
      </c>
      <c r="I254">
        <v>1</v>
      </c>
      <c r="J254" s="5">
        <v>0.28641797594524149</v>
      </c>
      <c r="K254" s="5">
        <v>56.265200998360463</v>
      </c>
    </row>
    <row r="255" spans="1:14" s="11" customFormat="1" x14ac:dyDescent="0.35">
      <c r="A255" s="11" t="s">
        <v>12</v>
      </c>
      <c r="B255" s="11">
        <v>200</v>
      </c>
      <c r="C255">
        <v>1</v>
      </c>
      <c r="D255" s="12">
        <v>2155.3417258861932</v>
      </c>
      <c r="E255" s="13">
        <v>2155.3417258861932</v>
      </c>
      <c r="F255" s="14">
        <f>-($D$222-D255)/$D$222</f>
        <v>1.78301950777821E-2</v>
      </c>
      <c r="G255" s="15">
        <v>125.36278343200679</v>
      </c>
      <c r="H255" s="14">
        <v>0.71251429625961094</v>
      </c>
      <c r="I255" s="11">
        <v>1</v>
      </c>
      <c r="J255" s="15">
        <v>0.24214821508611539</v>
      </c>
      <c r="K255" s="15">
        <v>56.341197926091951</v>
      </c>
      <c r="M255" s="14">
        <f>AVERAGE(F255:F265)</f>
        <v>6.6838694490173184E-2</v>
      </c>
      <c r="N255" s="16" t="s">
        <v>5</v>
      </c>
    </row>
    <row r="256" spans="1:14" x14ac:dyDescent="0.35">
      <c r="A256" t="s">
        <v>12</v>
      </c>
      <c r="B256">
        <v>200</v>
      </c>
      <c r="C256">
        <v>2</v>
      </c>
      <c r="D256" s="7">
        <v>1964.7325598273869</v>
      </c>
      <c r="E256" s="8">
        <v>1964.7325598273869</v>
      </c>
      <c r="F256" s="3">
        <f>($D$223-D256)/$D$223</f>
        <v>7.2826554668234539E-2</v>
      </c>
      <c r="G256" s="5">
        <v>113.9289536476135</v>
      </c>
      <c r="H256" s="3">
        <v>0.66041318610132016</v>
      </c>
      <c r="I256">
        <v>1</v>
      </c>
      <c r="J256" s="5">
        <v>0.35671027802741989</v>
      </c>
      <c r="K256" s="5">
        <v>56.28118126413446</v>
      </c>
      <c r="M256" s="3">
        <f>AVERAGE(H255:H265)</f>
        <v>0.62344483463227196</v>
      </c>
      <c r="N256" s="9" t="s">
        <v>13</v>
      </c>
    </row>
    <row r="257" spans="1:14" x14ac:dyDescent="0.35">
      <c r="A257" t="s">
        <v>12</v>
      </c>
      <c r="B257">
        <v>200</v>
      </c>
      <c r="C257">
        <v>3</v>
      </c>
      <c r="D257" s="7">
        <v>2148.8242039517809</v>
      </c>
      <c r="E257" s="8">
        <v>2148.8242039517809</v>
      </c>
      <c r="F257" s="3">
        <f>-($D$224-D257)/$D$224</f>
        <v>3.1838802360900337E-2</v>
      </c>
      <c r="G257" s="5">
        <v>127.3324823379517</v>
      </c>
      <c r="H257" s="3">
        <v>0.69402177947838362</v>
      </c>
      <c r="I257">
        <v>1</v>
      </c>
      <c r="J257" s="5">
        <v>0.29417821218018381</v>
      </c>
      <c r="K257" s="5">
        <v>56.276314026393059</v>
      </c>
      <c r="M257">
        <f>AVERAGE(I255:I265)</f>
        <v>1</v>
      </c>
      <c r="N257" s="9" t="s">
        <v>14</v>
      </c>
    </row>
    <row r="258" spans="1:14" x14ac:dyDescent="0.35">
      <c r="A258" t="s">
        <v>12</v>
      </c>
      <c r="B258">
        <v>200</v>
      </c>
      <c r="C258">
        <v>4</v>
      </c>
      <c r="D258" s="7">
        <v>1976.0255378104159</v>
      </c>
      <c r="E258" s="8">
        <v>1976.0255378104159</v>
      </c>
      <c r="F258" s="3">
        <f>($D$225-D258)/$D$225</f>
        <v>7.5970039472551473E-2</v>
      </c>
      <c r="G258" s="5">
        <v>114.9054553508759</v>
      </c>
      <c r="H258" s="3">
        <v>0.62054836738793051</v>
      </c>
      <c r="I258">
        <v>1</v>
      </c>
      <c r="J258" s="5">
        <v>0.34122569116552881</v>
      </c>
      <c r="K258" s="5">
        <v>56.608318650607252</v>
      </c>
      <c r="M258" s="5">
        <f>AVERAGE(J255:J265)</f>
        <v>0.30864867542450036</v>
      </c>
      <c r="N258" s="9" t="s">
        <v>15</v>
      </c>
    </row>
    <row r="259" spans="1:14" x14ac:dyDescent="0.35">
      <c r="A259" t="s">
        <v>12</v>
      </c>
      <c r="B259">
        <v>200</v>
      </c>
      <c r="C259">
        <v>5</v>
      </c>
      <c r="D259" s="7">
        <v>1923.0707573053071</v>
      </c>
      <c r="E259" s="8">
        <v>1923.0707573053071</v>
      </c>
      <c r="F259" s="3">
        <f>($D$226-D259)/$D$226</f>
        <v>8.6497372727279698E-2</v>
      </c>
      <c r="G259" s="5">
        <v>129.01116871833801</v>
      </c>
      <c r="H259" s="3">
        <v>0.5747858333375877</v>
      </c>
      <c r="I259">
        <v>1</v>
      </c>
      <c r="J259" s="5">
        <v>0.31007830011783449</v>
      </c>
      <c r="K259" s="5">
        <v>56.094009337251819</v>
      </c>
      <c r="M259" s="5">
        <f>AVERAGE(K255:K265)</f>
        <v>56.329212894796704</v>
      </c>
      <c r="N259" s="9" t="s">
        <v>16</v>
      </c>
    </row>
    <row r="260" spans="1:14" x14ac:dyDescent="0.35">
      <c r="A260" t="s">
        <v>12</v>
      </c>
      <c r="B260">
        <v>200</v>
      </c>
      <c r="C260">
        <v>6</v>
      </c>
      <c r="D260" s="7">
        <v>1960.800269819809</v>
      </c>
      <c r="E260" s="8">
        <v>1960.800269819809</v>
      </c>
      <c r="F260" s="3">
        <f>($D$227-D260)/$D$227</f>
        <v>4.6497485069028725E-2</v>
      </c>
      <c r="G260" s="5">
        <v>110.0107560157776</v>
      </c>
      <c r="H260" s="3">
        <v>0.60691159102382541</v>
      </c>
      <c r="I260">
        <v>1</v>
      </c>
      <c r="J260" s="5">
        <v>0.30728107065600702</v>
      </c>
      <c r="K260" s="5">
        <v>56.264663521297642</v>
      </c>
      <c r="M260" s="5">
        <f>AVERAGE(G255:G265)</f>
        <v>118.32202989404851</v>
      </c>
      <c r="N260" s="10" t="s">
        <v>6</v>
      </c>
    </row>
    <row r="261" spans="1:14" x14ac:dyDescent="0.35">
      <c r="A261" t="s">
        <v>12</v>
      </c>
      <c r="B261">
        <v>200</v>
      </c>
      <c r="C261">
        <v>7</v>
      </c>
      <c r="D261" s="7">
        <v>2040.16672385221</v>
      </c>
      <c r="E261" s="8">
        <v>2040.16672385221</v>
      </c>
      <c r="F261" s="3">
        <f>($D$228-D261)/$D$228</f>
        <v>0.10509113604009984</v>
      </c>
      <c r="G261" s="5">
        <v>112.01342797279359</v>
      </c>
      <c r="H261" s="3">
        <v>0.6646979744124446</v>
      </c>
      <c r="I261">
        <v>1</v>
      </c>
      <c r="J261" s="5">
        <v>0.30694128905362877</v>
      </c>
      <c r="K261" s="5">
        <v>56.432108590463493</v>
      </c>
    </row>
    <row r="262" spans="1:14" x14ac:dyDescent="0.35">
      <c r="A262" t="s">
        <v>12</v>
      </c>
      <c r="B262">
        <v>200</v>
      </c>
      <c r="C262">
        <v>8</v>
      </c>
      <c r="D262" s="7">
        <v>1952.722419444691</v>
      </c>
      <c r="E262" s="8">
        <v>1952.722419444691</v>
      </c>
      <c r="F262" s="3">
        <f>($D$229-D262)/$D$229</f>
        <v>7.941796319588168E-2</v>
      </c>
      <c r="G262" s="5">
        <v>110.6943142414093</v>
      </c>
      <c r="H262" s="3">
        <v>0.6178677393127413</v>
      </c>
      <c r="I262">
        <v>0.99999999999999978</v>
      </c>
      <c r="J262" s="5">
        <v>0.34431334970179722</v>
      </c>
      <c r="K262" s="5">
        <v>56.101176677944451</v>
      </c>
    </row>
    <row r="263" spans="1:14" x14ac:dyDescent="0.35">
      <c r="A263" t="s">
        <v>12</v>
      </c>
      <c r="B263">
        <v>200</v>
      </c>
      <c r="C263">
        <v>9</v>
      </c>
      <c r="D263" s="7">
        <v>2026.8305546825541</v>
      </c>
      <c r="E263" s="8">
        <v>2026.8305546825541</v>
      </c>
      <c r="F263" s="3">
        <f>-($D$230-D263)/$D$230</f>
        <v>1.9913018578554424E-2</v>
      </c>
      <c r="G263" s="5">
        <v>124.66307997703549</v>
      </c>
      <c r="H263" s="3">
        <v>0.5735683768404366</v>
      </c>
      <c r="I263">
        <v>1</v>
      </c>
      <c r="J263" s="5">
        <v>0.27459856930434029</v>
      </c>
      <c r="K263" s="5">
        <v>56.334363632643111</v>
      </c>
    </row>
    <row r="264" spans="1:14" x14ac:dyDescent="0.35">
      <c r="A264" t="s">
        <v>12</v>
      </c>
      <c r="B264">
        <v>200</v>
      </c>
      <c r="C264">
        <v>10</v>
      </c>
      <c r="D264" s="7">
        <v>1922.7005641606349</v>
      </c>
      <c r="E264" s="8">
        <v>1922.7005641606349</v>
      </c>
      <c r="F264" s="3">
        <f>($D$231-D264)/$D$231</f>
        <v>6.0632887419869531E-2</v>
      </c>
      <c r="G264" s="5">
        <v>114.56711935997011</v>
      </c>
      <c r="H264" s="3">
        <v>0.62974468775452486</v>
      </c>
      <c r="I264">
        <v>1</v>
      </c>
      <c r="J264" s="5">
        <v>0.3217700909548416</v>
      </c>
      <c r="K264" s="5">
        <v>56.417188521809109</v>
      </c>
    </row>
    <row r="265" spans="1:14" x14ac:dyDescent="0.35">
      <c r="A265" t="s">
        <v>12</v>
      </c>
      <c r="B265">
        <v>200</v>
      </c>
      <c r="C265">
        <v>11</v>
      </c>
      <c r="D265" s="7">
        <v>1881.7160795727359</v>
      </c>
      <c r="E265" s="8">
        <v>1881.7160795727359</v>
      </c>
      <c r="F265" s="3">
        <f>($D$232-D265)/$D$232</f>
        <v>0.13871018478172276</v>
      </c>
      <c r="G265" s="5">
        <v>119.0527877807617</v>
      </c>
      <c r="H265" s="3">
        <v>0.50281934904618597</v>
      </c>
      <c r="I265">
        <v>1</v>
      </c>
      <c r="J265" s="5">
        <v>0.29589036342180658</v>
      </c>
      <c r="K265" s="5">
        <v>56.470819694127357</v>
      </c>
    </row>
    <row r="266" spans="1:14" s="11" customFormat="1" x14ac:dyDescent="0.35">
      <c r="A266" s="11" t="s">
        <v>12</v>
      </c>
      <c r="B266" s="11">
        <v>200</v>
      </c>
      <c r="C266">
        <v>1</v>
      </c>
      <c r="D266" s="12">
        <v>2007.0074905370541</v>
      </c>
      <c r="E266" s="13">
        <v>2007.0074905370541</v>
      </c>
      <c r="F266" s="14">
        <f>($D$222-D266)/$D$222</f>
        <v>5.2218587390831392E-2</v>
      </c>
      <c r="G266" s="15">
        <v>129.98322343826291</v>
      </c>
      <c r="H266" s="14">
        <v>0.44446401519647588</v>
      </c>
      <c r="I266" s="11">
        <v>1</v>
      </c>
      <c r="J266" s="15">
        <v>0.23798024947535901</v>
      </c>
      <c r="K266" s="15">
        <v>55.871421139464083</v>
      </c>
      <c r="M266" s="14">
        <f>AVERAGE(F266:F276)</f>
        <v>0.10687769298035299</v>
      </c>
      <c r="N266" s="16" t="s">
        <v>5</v>
      </c>
    </row>
    <row r="267" spans="1:14" x14ac:dyDescent="0.35">
      <c r="A267" t="s">
        <v>12</v>
      </c>
      <c r="B267">
        <v>200</v>
      </c>
      <c r="C267">
        <v>2</v>
      </c>
      <c r="D267" s="7">
        <v>1759.5837535975611</v>
      </c>
      <c r="E267" s="8">
        <v>1759.5837535975611</v>
      </c>
      <c r="F267" s="3">
        <f>($D$223-D267)/$D$223</f>
        <v>0.16963796267712775</v>
      </c>
      <c r="G267" s="5">
        <v>130.78201794624329</v>
      </c>
      <c r="H267" s="3">
        <v>0.31821913998791629</v>
      </c>
      <c r="I267">
        <v>1</v>
      </c>
      <c r="J267" s="5">
        <v>0.32083992398820488</v>
      </c>
      <c r="K267" s="5">
        <v>55.792771416298287</v>
      </c>
      <c r="M267" s="3">
        <f>AVERAGE(H266:H276)</f>
        <v>0.39989458255326954</v>
      </c>
      <c r="N267" s="9" t="s">
        <v>13</v>
      </c>
    </row>
    <row r="268" spans="1:14" x14ac:dyDescent="0.35">
      <c r="A268" t="s">
        <v>12</v>
      </c>
      <c r="B268">
        <v>200</v>
      </c>
      <c r="C268">
        <v>3</v>
      </c>
      <c r="D268" s="7">
        <v>1983.900933531344</v>
      </c>
      <c r="E268" s="8">
        <v>1983.900933531344</v>
      </c>
      <c r="F268" s="3">
        <f>($D$224-D268)/$D$224</f>
        <v>4.7355312038550638E-2</v>
      </c>
      <c r="G268" s="5">
        <v>153.5685467720032</v>
      </c>
      <c r="H268" s="3">
        <v>0.38500799665575652</v>
      </c>
      <c r="I268">
        <v>1</v>
      </c>
      <c r="J268" s="5">
        <v>0.25642299928907641</v>
      </c>
      <c r="K268" s="5">
        <v>55.755671247478219</v>
      </c>
      <c r="M268">
        <f>AVERAGE(I266:I276)</f>
        <v>1</v>
      </c>
      <c r="N268" s="9" t="s">
        <v>14</v>
      </c>
    </row>
    <row r="269" spans="1:14" x14ac:dyDescent="0.35">
      <c r="A269" t="s">
        <v>12</v>
      </c>
      <c r="B269">
        <v>200</v>
      </c>
      <c r="C269">
        <v>4</v>
      </c>
      <c r="D269" s="7">
        <v>1817.888058942033</v>
      </c>
      <c r="E269" s="8">
        <v>1817.888058942033</v>
      </c>
      <c r="F269" s="3">
        <f>($D$225-D269)/$D$225</f>
        <v>0.14991835924911578</v>
      </c>
      <c r="G269" s="5">
        <v>133.82946610450739</v>
      </c>
      <c r="H269" s="3">
        <v>0.29688305588190322</v>
      </c>
      <c r="I269">
        <v>0.99999999999999989</v>
      </c>
      <c r="J269" s="5">
        <v>0.30851480782161628</v>
      </c>
      <c r="K269" s="5">
        <v>55.99327138693036</v>
      </c>
      <c r="M269" s="5">
        <f>AVERAGE(J266:J276)</f>
        <v>0.29529719656364661</v>
      </c>
      <c r="N269" s="9" t="s">
        <v>15</v>
      </c>
    </row>
    <row r="270" spans="1:14" x14ac:dyDescent="0.35">
      <c r="A270" t="s">
        <v>12</v>
      </c>
      <c r="B270">
        <v>200</v>
      </c>
      <c r="C270">
        <v>5</v>
      </c>
      <c r="D270" s="7">
        <v>1874.8033042834129</v>
      </c>
      <c r="E270" s="8">
        <v>1874.8033042834129</v>
      </c>
      <c r="F270" s="3">
        <f>($D$226-D270)/$D$226</f>
        <v>0.10942551771610333</v>
      </c>
      <c r="G270" s="5">
        <v>147.9189786911011</v>
      </c>
      <c r="H270" s="3">
        <v>0.35307260408538349</v>
      </c>
      <c r="I270">
        <v>1</v>
      </c>
      <c r="J270" s="5">
        <v>0.30358277047831878</v>
      </c>
      <c r="K270" s="5">
        <v>56.241361609988537</v>
      </c>
      <c r="M270" s="5">
        <f>AVERAGE(K266:K276)</f>
        <v>56.077425598542938</v>
      </c>
      <c r="N270" s="9" t="s">
        <v>16</v>
      </c>
    </row>
    <row r="271" spans="1:14" x14ac:dyDescent="0.35">
      <c r="A271" t="s">
        <v>12</v>
      </c>
      <c r="B271">
        <v>200</v>
      </c>
      <c r="C271">
        <v>6</v>
      </c>
      <c r="D271" s="7">
        <v>1933.5857338446631</v>
      </c>
      <c r="E271" s="8">
        <v>1933.5857338446631</v>
      </c>
      <c r="F271" s="3">
        <f>($D$227-D271)/$D$227</f>
        <v>5.97314329087879E-2</v>
      </c>
      <c r="G271" s="5">
        <v>155.54412746429441</v>
      </c>
      <c r="H271" s="3">
        <v>0.54201298029918721</v>
      </c>
      <c r="I271">
        <v>1</v>
      </c>
      <c r="J271" s="5">
        <v>0.30298609658222531</v>
      </c>
      <c r="K271" s="5">
        <v>56.368575366592289</v>
      </c>
      <c r="M271" s="5">
        <f>AVERAGE(G266:G276)</f>
        <v>142.70040744001216</v>
      </c>
      <c r="N271" s="10" t="s">
        <v>6</v>
      </c>
    </row>
    <row r="272" spans="1:14" x14ac:dyDescent="0.35">
      <c r="A272" t="s">
        <v>12</v>
      </c>
      <c r="B272">
        <v>200</v>
      </c>
      <c r="C272">
        <v>7</v>
      </c>
      <c r="D272" s="7">
        <v>1965.1039388152769</v>
      </c>
      <c r="E272" s="8">
        <v>1965.1039388152769</v>
      </c>
      <c r="F272" s="3">
        <f>($D$228-D272)/$D$228</f>
        <v>0.13801704885776919</v>
      </c>
      <c r="G272" s="5">
        <v>157.98009157180789</v>
      </c>
      <c r="H272" s="3">
        <v>0.56153425771409959</v>
      </c>
      <c r="I272">
        <v>1</v>
      </c>
      <c r="J272" s="5">
        <v>0.29605937530988502</v>
      </c>
      <c r="K272" s="5">
        <v>56.199975470869028</v>
      </c>
    </row>
    <row r="273" spans="1:11" x14ac:dyDescent="0.35">
      <c r="A273" t="s">
        <v>12</v>
      </c>
      <c r="B273">
        <v>200</v>
      </c>
      <c r="C273">
        <v>8</v>
      </c>
      <c r="D273" s="7">
        <v>1885.3560977658681</v>
      </c>
      <c r="E273" s="8">
        <v>1885.3560977658681</v>
      </c>
      <c r="F273" s="3">
        <f>($D$229-D273)/$D$229</f>
        <v>0.11117681688934633</v>
      </c>
      <c r="G273" s="5">
        <v>127.576000213623</v>
      </c>
      <c r="H273" s="3">
        <v>0.44902044060885948</v>
      </c>
      <c r="I273">
        <v>0.99999999999999989</v>
      </c>
      <c r="J273" s="5">
        <v>0.35161217371838371</v>
      </c>
      <c r="K273" s="5">
        <v>56.148956288305783</v>
      </c>
    </row>
    <row r="274" spans="1:11" x14ac:dyDescent="0.35">
      <c r="A274" t="s">
        <v>12</v>
      </c>
      <c r="B274">
        <v>200</v>
      </c>
      <c r="C274">
        <v>9</v>
      </c>
      <c r="D274" s="7">
        <v>1943.279541668476</v>
      </c>
      <c r="E274" s="8">
        <v>1943.279541668476</v>
      </c>
      <c r="F274" s="3">
        <f>($D$230-D274)/$D$230</f>
        <v>2.2130341036098195E-2</v>
      </c>
      <c r="G274" s="5">
        <v>128.49440455436709</v>
      </c>
      <c r="H274" s="3">
        <v>0.40726958711977268</v>
      </c>
      <c r="I274">
        <v>1</v>
      </c>
      <c r="J274" s="5">
        <v>0.27407883749973472</v>
      </c>
      <c r="K274" s="5">
        <v>56.194029547750503</v>
      </c>
    </row>
    <row r="275" spans="1:11" x14ac:dyDescent="0.35">
      <c r="A275" t="s">
        <v>12</v>
      </c>
      <c r="B275">
        <v>200</v>
      </c>
      <c r="C275">
        <v>10</v>
      </c>
      <c r="D275" s="7">
        <v>1760.7883539014761</v>
      </c>
      <c r="E275" s="8">
        <v>1760.7883539014761</v>
      </c>
      <c r="F275" s="3">
        <f>($D$231-D275)/$D$231</f>
        <v>0.13973777160083972</v>
      </c>
      <c r="G275" s="5">
        <v>135.31315946578979</v>
      </c>
      <c r="H275" s="3">
        <v>0.35230976040422368</v>
      </c>
      <c r="I275">
        <v>1</v>
      </c>
      <c r="J275" s="5">
        <v>0.31672076350394163</v>
      </c>
      <c r="K275" s="5">
        <v>55.997618059052819</v>
      </c>
    </row>
    <row r="276" spans="1:11" x14ac:dyDescent="0.35">
      <c r="A276" t="s">
        <v>12</v>
      </c>
      <c r="B276">
        <v>200</v>
      </c>
      <c r="C276">
        <v>11</v>
      </c>
      <c r="D276" s="7">
        <v>1799.579200657146</v>
      </c>
      <c r="E276" s="8">
        <v>1799.579200657146</v>
      </c>
      <c r="F276" s="3">
        <f>($D$232-D276)/$D$232</f>
        <v>0.17630547241931238</v>
      </c>
      <c r="G276" s="5">
        <v>168.71446561813349</v>
      </c>
      <c r="H276" s="3">
        <v>0.28904657013238638</v>
      </c>
      <c r="I276">
        <v>1</v>
      </c>
      <c r="J276" s="5">
        <v>0.27947116453336718</v>
      </c>
      <c r="K276" s="5">
        <v>56.288030051242359</v>
      </c>
    </row>
    <row r="277" spans="1:11" s="11" customFormat="1" x14ac:dyDescent="0.35">
      <c r="D277" s="12"/>
      <c r="E277" s="13"/>
      <c r="G277" s="15"/>
      <c r="H277" s="14"/>
      <c r="J277" s="15"/>
      <c r="K277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Arce Soto</cp:lastModifiedBy>
  <dcterms:created xsi:type="dcterms:W3CDTF">2026-08-28T08:05:52Z</dcterms:created>
  <dcterms:modified xsi:type="dcterms:W3CDTF">2026-08-28T13:53:31Z</dcterms:modified>
</cp:coreProperties>
</file>