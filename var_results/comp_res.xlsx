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arce\OneDrive\Escritorio\codigos\ATO_PRICING\var_results\"/>
    </mc:Choice>
  </mc:AlternateContent>
  <xr:revisionPtr revIDLastSave="0" documentId="13_ncr:1_{624BBDA4-A44C-4899-968E-F7AC45EBBFCA}" xr6:coauthVersionLast="47" xr6:coauthVersionMax="47" xr10:uidLastSave="{00000000-0000-0000-0000-000000000000}"/>
  <bookViews>
    <workbookView xWindow="-104" yWindow="-104" windowWidth="20098" windowHeight="10671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 a="1"/>
  <c r="J2" i="1" s="1"/>
  <c r="I123" i="1"/>
  <c r="I101" i="1"/>
  <c r="I79" i="1"/>
  <c r="I57" i="1"/>
  <c r="I35" i="1"/>
  <c r="I13" i="1"/>
  <c r="H133" i="1"/>
  <c r="H132" i="1"/>
  <c r="H131" i="1"/>
  <c r="H130" i="1"/>
  <c r="H129" i="1"/>
  <c r="H128" i="1"/>
  <c r="H127" i="1"/>
  <c r="H126" i="1"/>
  <c r="H125" i="1"/>
  <c r="H124" i="1"/>
  <c r="H123" i="1"/>
  <c r="H111" i="1"/>
  <c r="H110" i="1"/>
  <c r="H109" i="1"/>
  <c r="H108" i="1"/>
  <c r="H107" i="1"/>
  <c r="H106" i="1"/>
  <c r="H105" i="1"/>
  <c r="H104" i="1"/>
  <c r="H103" i="1"/>
  <c r="H102" i="1"/>
  <c r="H101" i="1"/>
  <c r="H89" i="1"/>
  <c r="H88" i="1"/>
  <c r="H87" i="1"/>
  <c r="H86" i="1"/>
  <c r="H85" i="1"/>
  <c r="H84" i="1"/>
  <c r="H83" i="1"/>
  <c r="H82" i="1"/>
  <c r="H81" i="1"/>
  <c r="H80" i="1"/>
  <c r="H79" i="1"/>
  <c r="H67" i="1"/>
  <c r="H66" i="1"/>
  <c r="H65" i="1"/>
  <c r="H64" i="1"/>
  <c r="H63" i="1"/>
  <c r="H62" i="1"/>
  <c r="H61" i="1"/>
  <c r="H60" i="1"/>
  <c r="H59" i="1"/>
  <c r="H58" i="1"/>
  <c r="H57" i="1"/>
  <c r="H45" i="1"/>
  <c r="H44" i="1"/>
  <c r="H43" i="1"/>
  <c r="H42" i="1"/>
  <c r="H41" i="1"/>
  <c r="H40" i="1"/>
  <c r="H39" i="1"/>
  <c r="H38" i="1"/>
  <c r="H37" i="1"/>
  <c r="H36" i="1"/>
  <c r="H35" i="1"/>
  <c r="H14" i="1"/>
  <c r="H15" i="1"/>
  <c r="H16" i="1"/>
  <c r="H17" i="1"/>
  <c r="H18" i="1"/>
  <c r="H19" i="1"/>
  <c r="H20" i="1"/>
  <c r="H21" i="1"/>
  <c r="H22" i="1"/>
  <c r="H23" i="1"/>
  <c r="H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<sst xmlns="http://schemas.openxmlformats.org/spreadsheetml/2006/main" count="152" uniqueCount="11">
  <si>
    <t>Model</t>
  </si>
  <si>
    <t>comp</t>
  </si>
  <si>
    <t>seed</t>
  </si>
  <si>
    <t>incumbent</t>
  </si>
  <si>
    <t>bestbd</t>
  </si>
  <si>
    <t>gap</t>
  </si>
  <si>
    <t>time</t>
  </si>
  <si>
    <t>MS_linear</t>
  </si>
  <si>
    <t>REL_EVAL</t>
  </si>
  <si>
    <t>opt_gap</t>
  </si>
  <si>
    <t>avg_gap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</si>
</sst>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41" fontId="1" fillId="0" borderId="1" xfId="1" applyFont="1" applyBorder="1" applyAlignment="1">
      <alignment horizontal="center" vertical="top"/>
    </xf>
    <xf numFmtId="41" fontId="0" fillId="0" borderId="0" xfId="1" applyFont="1"/>
    <xf numFmtId="41" fontId="1" fillId="0" borderId="2" xfId="1" applyFont="1" applyFill="1" applyBorder="1" applyAlignment="1">
      <alignment horizontal="center" vertical="top"/>
    </xf>
    <xf numFmtId="164" fontId="0" fillId="0" borderId="0" xfId="2" applyNumberFormat="1" applyFont="1"/>
    <xf numFmtId="164" fontId="0" fillId="0" borderId="0" xfId="0" applyNumberFormat="1"/>
    <xf numFmtId="10" fontId="0" fillId="0" borderId="0" xfId="2" applyNumberFormat="1" applyFont="1"/>
  </cellXfs>
  <cellStyles count="3">
    <cellStyle name="Millares [0]" xfId="1" builtinId="6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4"/>
  <sheetViews>
    <sheetView tabSelected="1" workbookViewId="0">
      <selection activeCell="K7" sqref="K7"/>
    </sheetView>
  </sheetViews>
  <sheetFormatPr baseColWidth="10" defaultColWidth="8.7265625" defaultRowHeight="14.5" x14ac:dyDescent="0.35"/>
  <cols>
    <col min="4" max="5" width="8.7265625" style="3"/>
    <col min="7" max="7" width="8.7265625" style="3"/>
  </cols>
  <sheetData>
    <row r="1" spans="1:10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4" t="s">
        <v>9</v>
      </c>
      <c r="I1" s="4" t="s">
        <v>10</v>
      </c>
    </row>
    <row r="2" spans="1:10" x14ac:dyDescent="0.35">
      <c r="A2" t="s">
        <v>7</v>
      </c>
      <c r="B2">
        <v>3</v>
      </c>
      <c r="C2">
        <v>40</v>
      </c>
      <c r="D2" s="3">
        <v>54698.347416609307</v>
      </c>
      <c r="E2" s="3">
        <v>54698.347416609307</v>
      </c>
      <c r="F2">
        <v>0</v>
      </c>
      <c r="G2" s="3">
        <v>4.3819999694824219</v>
      </c>
      <c r="J2" t="str" cm="1">
        <f t="array" ref="J2:J9">_xlfn.UNIQUE(I:I)</f>
        <v>avg_gap</v>
      </c>
    </row>
    <row r="3" spans="1:10" x14ac:dyDescent="0.35">
      <c r="A3" t="s">
        <v>7</v>
      </c>
      <c r="B3">
        <v>3</v>
      </c>
      <c r="C3">
        <v>41</v>
      </c>
      <c r="D3" s="3">
        <v>50005.139417742401</v>
      </c>
      <c r="E3" s="3">
        <v>50005.139417742401</v>
      </c>
      <c r="F3">
        <v>0</v>
      </c>
      <c r="G3" s="3">
        <v>5.4819998741149902</v>
      </c>
      <c r="J3" s="7">
        <v>0</v>
      </c>
    </row>
    <row r="4" spans="1:10" x14ac:dyDescent="0.35">
      <c r="A4" t="s">
        <v>7</v>
      </c>
      <c r="B4">
        <v>3</v>
      </c>
      <c r="C4">
        <v>42</v>
      </c>
      <c r="D4" s="3">
        <v>52472.404311832222</v>
      </c>
      <c r="E4" s="3">
        <v>52472.404311832222</v>
      </c>
      <c r="F4">
        <v>0</v>
      </c>
      <c r="G4" s="3">
        <v>6.3529999256134033</v>
      </c>
      <c r="J4" s="7">
        <v>1.5076620354710581E-3</v>
      </c>
    </row>
    <row r="5" spans="1:10" x14ac:dyDescent="0.35">
      <c r="A5" t="s">
        <v>7</v>
      </c>
      <c r="B5">
        <v>3</v>
      </c>
      <c r="C5">
        <v>43</v>
      </c>
      <c r="D5" s="3">
        <v>49752.886962788267</v>
      </c>
      <c r="E5" s="3">
        <v>49752.886962788267</v>
      </c>
      <c r="F5">
        <v>0</v>
      </c>
      <c r="G5" s="3">
        <v>5.7839999198913574</v>
      </c>
      <c r="J5" s="7">
        <v>2.7976645908332366E-3</v>
      </c>
    </row>
    <row r="6" spans="1:10" x14ac:dyDescent="0.35">
      <c r="A6" t="s">
        <v>7</v>
      </c>
      <c r="B6">
        <v>3</v>
      </c>
      <c r="C6">
        <v>44</v>
      </c>
      <c r="D6" s="3">
        <v>54318.671396130187</v>
      </c>
      <c r="E6" s="3">
        <v>54318.671396130187</v>
      </c>
      <c r="F6">
        <v>0</v>
      </c>
      <c r="G6" s="3">
        <v>6.5680000782012939</v>
      </c>
      <c r="J6" s="7">
        <v>4.3382448520964262E-3</v>
      </c>
    </row>
    <row r="7" spans="1:10" x14ac:dyDescent="0.35">
      <c r="A7" t="s">
        <v>7</v>
      </c>
      <c r="B7">
        <v>3</v>
      </c>
      <c r="C7">
        <v>45</v>
      </c>
      <c r="D7" s="3">
        <v>50192.839972608199</v>
      </c>
      <c r="E7" s="3">
        <v>50192.839972608199</v>
      </c>
      <c r="F7">
        <v>0</v>
      </c>
      <c r="G7" s="3">
        <v>5.7159998416900626</v>
      </c>
      <c r="J7" s="7">
        <v>7.5731075782476979E-3</v>
      </c>
    </row>
    <row r="8" spans="1:10" x14ac:dyDescent="0.35">
      <c r="A8" t="s">
        <v>7</v>
      </c>
      <c r="B8">
        <v>3</v>
      </c>
      <c r="C8">
        <v>46</v>
      </c>
      <c r="D8" s="3">
        <v>49671.553327897833</v>
      </c>
      <c r="E8" s="3">
        <v>49671.553327897833</v>
      </c>
      <c r="F8">
        <v>0</v>
      </c>
      <c r="G8" s="3">
        <v>5.9809999465942383</v>
      </c>
      <c r="J8" s="7">
        <v>6.9664052310456255E-3</v>
      </c>
    </row>
    <row r="9" spans="1:10" x14ac:dyDescent="0.35">
      <c r="A9" t="s">
        <v>7</v>
      </c>
      <c r="B9">
        <v>3</v>
      </c>
      <c r="C9">
        <v>47</v>
      </c>
      <c r="D9" s="3">
        <v>52601.496990189051</v>
      </c>
      <c r="E9" s="3">
        <v>52601.496990189051</v>
      </c>
      <c r="F9">
        <v>0</v>
      </c>
      <c r="G9" s="3">
        <v>6.1800000667572021</v>
      </c>
      <c r="J9" s="7">
        <v>8.9329477879887004E-3</v>
      </c>
    </row>
    <row r="10" spans="1:10" x14ac:dyDescent="0.35">
      <c r="A10" t="s">
        <v>7</v>
      </c>
      <c r="B10">
        <v>3</v>
      </c>
      <c r="C10">
        <v>48</v>
      </c>
      <c r="D10" s="3">
        <v>52856.619955087233</v>
      </c>
      <c r="E10" s="3">
        <v>52856.619955087233</v>
      </c>
      <c r="F10">
        <v>0</v>
      </c>
      <c r="G10" s="3">
        <v>6.3999998569488534</v>
      </c>
    </row>
    <row r="11" spans="1:10" x14ac:dyDescent="0.35">
      <c r="A11" t="s">
        <v>7</v>
      </c>
      <c r="B11">
        <v>3</v>
      </c>
      <c r="C11">
        <v>49</v>
      </c>
      <c r="D11" s="3">
        <v>49640.650472245557</v>
      </c>
      <c r="E11" s="3">
        <v>49640.650472245557</v>
      </c>
      <c r="F11">
        <v>0</v>
      </c>
      <c r="G11" s="3">
        <v>3.845000028610229</v>
      </c>
    </row>
    <row r="12" spans="1:10" x14ac:dyDescent="0.35">
      <c r="A12" t="s">
        <v>7</v>
      </c>
      <c r="B12">
        <v>3</v>
      </c>
      <c r="C12">
        <v>50</v>
      </c>
      <c r="D12" s="3">
        <v>50465.839130576227</v>
      </c>
      <c r="E12" s="3">
        <v>50465.839130576227</v>
      </c>
      <c r="F12">
        <v>0</v>
      </c>
      <c r="G12" s="3">
        <v>3.6200001239776611</v>
      </c>
    </row>
    <row r="13" spans="1:10" x14ac:dyDescent="0.35">
      <c r="A13" t="s">
        <v>8</v>
      </c>
      <c r="B13">
        <v>3</v>
      </c>
      <c r="C13">
        <v>40</v>
      </c>
      <c r="D13" s="3">
        <v>54560.352728273887</v>
      </c>
      <c r="E13" s="3">
        <v>54560.352728274163</v>
      </c>
      <c r="F13">
        <v>0</v>
      </c>
      <c r="G13" s="3">
        <v>4.1509997844696036</v>
      </c>
      <c r="H13" s="5">
        <f>(D2-D13)/D2</f>
        <v>2.5228310333470518E-3</v>
      </c>
      <c r="I13" s="6">
        <f>AVERAGE(H13:H23)</f>
        <v>1.5076620354710581E-3</v>
      </c>
    </row>
    <row r="14" spans="1:10" x14ac:dyDescent="0.35">
      <c r="A14" t="s">
        <v>8</v>
      </c>
      <c r="B14">
        <v>3</v>
      </c>
      <c r="C14">
        <v>41</v>
      </c>
      <c r="D14" s="3">
        <v>49915.770786830639</v>
      </c>
      <c r="E14" s="3">
        <v>49915.770786830639</v>
      </c>
      <c r="F14">
        <v>0</v>
      </c>
      <c r="G14" s="3">
        <v>3.8669998645782471</v>
      </c>
      <c r="H14" s="5">
        <f t="shared" ref="H14:H23" si="0">(D3-D14)/D3</f>
        <v>1.7871889160267593E-3</v>
      </c>
    </row>
    <row r="15" spans="1:10" x14ac:dyDescent="0.35">
      <c r="A15" t="s">
        <v>8</v>
      </c>
      <c r="B15">
        <v>3</v>
      </c>
      <c r="C15">
        <v>42</v>
      </c>
      <c r="D15" s="3">
        <v>52383.278720795934</v>
      </c>
      <c r="E15" s="3">
        <v>52383.278720795963</v>
      </c>
      <c r="F15">
        <v>0</v>
      </c>
      <c r="G15" s="3">
        <v>4.1690001487731934</v>
      </c>
      <c r="H15" s="5">
        <f t="shared" si="0"/>
        <v>1.6985231038134747E-3</v>
      </c>
    </row>
    <row r="16" spans="1:10" x14ac:dyDescent="0.35">
      <c r="A16" t="s">
        <v>8</v>
      </c>
      <c r="B16">
        <v>3</v>
      </c>
      <c r="C16">
        <v>43</v>
      </c>
      <c r="D16" s="3">
        <v>49703.363012455942</v>
      </c>
      <c r="E16" s="3">
        <v>49703.363012456</v>
      </c>
      <c r="F16">
        <v>0</v>
      </c>
      <c r="G16" s="3">
        <v>3.8259999752044682</v>
      </c>
      <c r="H16" s="5">
        <f t="shared" si="0"/>
        <v>9.9539852570495265E-4</v>
      </c>
    </row>
    <row r="17" spans="1:8" x14ac:dyDescent="0.35">
      <c r="A17" t="s">
        <v>8</v>
      </c>
      <c r="B17">
        <v>3</v>
      </c>
      <c r="C17">
        <v>44</v>
      </c>
      <c r="D17" s="3">
        <v>54237.087942777624</v>
      </c>
      <c r="E17" s="3">
        <v>54237.087942777704</v>
      </c>
      <c r="F17">
        <v>0</v>
      </c>
      <c r="G17" s="3">
        <v>4.1239998340606689</v>
      </c>
      <c r="H17" s="5">
        <f t="shared" si="0"/>
        <v>1.5019412525317274E-3</v>
      </c>
    </row>
    <row r="18" spans="1:8" x14ac:dyDescent="0.35">
      <c r="A18" t="s">
        <v>8</v>
      </c>
      <c r="B18">
        <v>3</v>
      </c>
      <c r="C18">
        <v>45</v>
      </c>
      <c r="D18" s="3">
        <v>50145.827700558417</v>
      </c>
      <c r="E18" s="3">
        <v>50145.827700558417</v>
      </c>
      <c r="F18">
        <v>0</v>
      </c>
      <c r="G18" s="3">
        <v>3.968999862670898</v>
      </c>
      <c r="H18" s="5">
        <f t="shared" si="0"/>
        <v>9.366330352185313E-4</v>
      </c>
    </row>
    <row r="19" spans="1:8" x14ac:dyDescent="0.35">
      <c r="A19" t="s">
        <v>8</v>
      </c>
      <c r="B19">
        <v>3</v>
      </c>
      <c r="C19">
        <v>46</v>
      </c>
      <c r="D19" s="3">
        <v>49540.060566440217</v>
      </c>
      <c r="E19" s="3">
        <v>49540.060566440217</v>
      </c>
      <c r="F19">
        <v>0</v>
      </c>
      <c r="G19" s="3">
        <v>3.904000043869019</v>
      </c>
      <c r="H19" s="5">
        <f t="shared" si="0"/>
        <v>2.6472448040750726E-3</v>
      </c>
    </row>
    <row r="20" spans="1:8" x14ac:dyDescent="0.35">
      <c r="A20" t="s">
        <v>8</v>
      </c>
      <c r="B20">
        <v>3</v>
      </c>
      <c r="C20">
        <v>47</v>
      </c>
      <c r="D20" s="3">
        <v>52546.578795335183</v>
      </c>
      <c r="E20" s="3">
        <v>52546.57879533543</v>
      </c>
      <c r="F20">
        <v>0</v>
      </c>
      <c r="G20" s="3">
        <v>4.0310001373291016</v>
      </c>
      <c r="H20" s="5">
        <f t="shared" si="0"/>
        <v>1.0440424321785193E-3</v>
      </c>
    </row>
    <row r="21" spans="1:8" x14ac:dyDescent="0.35">
      <c r="A21" t="s">
        <v>8</v>
      </c>
      <c r="B21">
        <v>3</v>
      </c>
      <c r="C21">
        <v>48</v>
      </c>
      <c r="D21" s="3">
        <v>52771.549116996182</v>
      </c>
      <c r="E21" s="3">
        <v>52771.549116996437</v>
      </c>
      <c r="F21">
        <v>0</v>
      </c>
      <c r="G21" s="3">
        <v>4.1369998455047607</v>
      </c>
      <c r="H21" s="5">
        <f t="shared" si="0"/>
        <v>1.6094642102226072E-3</v>
      </c>
    </row>
    <row r="22" spans="1:8" x14ac:dyDescent="0.35">
      <c r="A22" t="s">
        <v>8</v>
      </c>
      <c r="B22">
        <v>3</v>
      </c>
      <c r="C22">
        <v>49</v>
      </c>
      <c r="D22" s="3">
        <v>49590.895203914552</v>
      </c>
      <c r="E22" s="3">
        <v>49590.895203914857</v>
      </c>
      <c r="F22">
        <v>0</v>
      </c>
      <c r="G22" s="3">
        <v>3.960999727249146</v>
      </c>
      <c r="H22" s="5">
        <f t="shared" si="0"/>
        <v>1.0023089515884659E-3</v>
      </c>
    </row>
    <row r="23" spans="1:8" x14ac:dyDescent="0.35">
      <c r="A23" t="s">
        <v>8</v>
      </c>
      <c r="B23">
        <v>3</v>
      </c>
      <c r="C23">
        <v>50</v>
      </c>
      <c r="D23" s="3">
        <v>50423.513122170203</v>
      </c>
      <c r="E23" s="3">
        <v>50423.513122170203</v>
      </c>
      <c r="F23">
        <v>0</v>
      </c>
      <c r="G23" s="3">
        <v>3.937000036239624</v>
      </c>
      <c r="H23" s="5">
        <f t="shared" si="0"/>
        <v>8.3870612547447829E-4</v>
      </c>
    </row>
    <row r="24" spans="1:8" x14ac:dyDescent="0.35">
      <c r="A24" t="s">
        <v>7</v>
      </c>
      <c r="B24">
        <v>5</v>
      </c>
      <c r="C24">
        <v>40</v>
      </c>
      <c r="D24" s="3">
        <v>45128.948254889132</v>
      </c>
      <c r="E24" s="3">
        <v>45128.948254889132</v>
      </c>
      <c r="F24">
        <v>0</v>
      </c>
      <c r="G24" s="3">
        <v>4.7750000953674316</v>
      </c>
    </row>
    <row r="25" spans="1:8" x14ac:dyDescent="0.35">
      <c r="A25" t="s">
        <v>7</v>
      </c>
      <c r="B25">
        <v>5</v>
      </c>
      <c r="C25">
        <v>41</v>
      </c>
      <c r="D25" s="3">
        <v>43221.331599388323</v>
      </c>
      <c r="E25" s="3">
        <v>43221.331599388323</v>
      </c>
      <c r="F25">
        <v>0</v>
      </c>
      <c r="G25" s="3">
        <v>4.6619999408721924</v>
      </c>
    </row>
    <row r="26" spans="1:8" x14ac:dyDescent="0.35">
      <c r="A26" t="s">
        <v>7</v>
      </c>
      <c r="B26">
        <v>5</v>
      </c>
      <c r="C26">
        <v>42</v>
      </c>
      <c r="D26" s="3">
        <v>44576.89720892784</v>
      </c>
      <c r="E26" s="3">
        <v>44576.89720892784</v>
      </c>
      <c r="F26">
        <v>0</v>
      </c>
      <c r="G26" s="3">
        <v>4.7909998893737793</v>
      </c>
    </row>
    <row r="27" spans="1:8" x14ac:dyDescent="0.35">
      <c r="A27" t="s">
        <v>7</v>
      </c>
      <c r="B27">
        <v>5</v>
      </c>
      <c r="C27">
        <v>43</v>
      </c>
      <c r="D27" s="3">
        <v>43233.169663900931</v>
      </c>
      <c r="E27" s="3">
        <v>43233.169663900931</v>
      </c>
      <c r="F27">
        <v>0</v>
      </c>
      <c r="G27" s="3">
        <v>4.9859998226165771</v>
      </c>
    </row>
    <row r="28" spans="1:8" x14ac:dyDescent="0.35">
      <c r="A28" t="s">
        <v>7</v>
      </c>
      <c r="B28">
        <v>5</v>
      </c>
      <c r="C28">
        <v>44</v>
      </c>
      <c r="D28" s="3">
        <v>44949.714146438237</v>
      </c>
      <c r="E28" s="3">
        <v>44949.714146438237</v>
      </c>
      <c r="F28">
        <v>0</v>
      </c>
      <c r="G28" s="3">
        <v>5.5859999656677246</v>
      </c>
    </row>
    <row r="29" spans="1:8" x14ac:dyDescent="0.35">
      <c r="A29" t="s">
        <v>7</v>
      </c>
      <c r="B29">
        <v>5</v>
      </c>
      <c r="C29">
        <v>45</v>
      </c>
      <c r="D29" s="3">
        <v>43928.651728752557</v>
      </c>
      <c r="E29" s="3">
        <v>43928.651728752557</v>
      </c>
      <c r="F29">
        <v>0</v>
      </c>
      <c r="G29" s="3">
        <v>4.8020000457763672</v>
      </c>
    </row>
    <row r="30" spans="1:8" x14ac:dyDescent="0.35">
      <c r="A30" t="s">
        <v>7</v>
      </c>
      <c r="B30">
        <v>5</v>
      </c>
      <c r="C30">
        <v>46</v>
      </c>
      <c r="D30" s="3">
        <v>45082.514062414542</v>
      </c>
      <c r="E30" s="3">
        <v>45082.514062414542</v>
      </c>
      <c r="F30">
        <v>0</v>
      </c>
      <c r="G30" s="3">
        <v>4.7829999923706046</v>
      </c>
    </row>
    <row r="31" spans="1:8" x14ac:dyDescent="0.35">
      <c r="A31" t="s">
        <v>7</v>
      </c>
      <c r="B31">
        <v>5</v>
      </c>
      <c r="C31">
        <v>47</v>
      </c>
      <c r="D31" s="3">
        <v>43371.819498816141</v>
      </c>
      <c r="E31" s="3">
        <v>43371.819498816141</v>
      </c>
      <c r="F31">
        <v>0</v>
      </c>
      <c r="G31" s="3">
        <v>4.8320000171661377</v>
      </c>
    </row>
    <row r="32" spans="1:8" x14ac:dyDescent="0.35">
      <c r="A32" t="s">
        <v>7</v>
      </c>
      <c r="B32">
        <v>5</v>
      </c>
      <c r="C32">
        <v>48</v>
      </c>
      <c r="D32" s="3">
        <v>42911.434859008114</v>
      </c>
      <c r="E32" s="3">
        <v>42911.434859008114</v>
      </c>
      <c r="F32">
        <v>0</v>
      </c>
      <c r="G32" s="3">
        <v>5.122999906539917</v>
      </c>
    </row>
    <row r="33" spans="1:9" x14ac:dyDescent="0.35">
      <c r="A33" t="s">
        <v>7</v>
      </c>
      <c r="B33">
        <v>5</v>
      </c>
      <c r="C33">
        <v>49</v>
      </c>
      <c r="D33" s="3">
        <v>42933.852449940401</v>
      </c>
      <c r="E33" s="3">
        <v>42933.852449940401</v>
      </c>
      <c r="F33">
        <v>0</v>
      </c>
      <c r="G33" s="3">
        <v>5.1640000343322754</v>
      </c>
    </row>
    <row r="34" spans="1:9" x14ac:dyDescent="0.35">
      <c r="A34" t="s">
        <v>7</v>
      </c>
      <c r="B34">
        <v>5</v>
      </c>
      <c r="C34">
        <v>50</v>
      </c>
      <c r="D34" s="3">
        <v>43584.069877844711</v>
      </c>
      <c r="E34" s="3">
        <v>43584.069877844711</v>
      </c>
      <c r="F34">
        <v>0</v>
      </c>
      <c r="G34" s="3">
        <v>4.7650001049041748</v>
      </c>
    </row>
    <row r="35" spans="1:9" x14ac:dyDescent="0.35">
      <c r="A35" t="s">
        <v>8</v>
      </c>
      <c r="B35">
        <v>5</v>
      </c>
      <c r="C35">
        <v>40</v>
      </c>
      <c r="D35" s="3">
        <v>45033.608934855903</v>
      </c>
      <c r="E35" s="3">
        <v>45033.608934856216</v>
      </c>
      <c r="F35">
        <v>0</v>
      </c>
      <c r="G35" s="3">
        <v>5.2889997959136963</v>
      </c>
      <c r="H35" s="5">
        <f>(D24-D35)/D24</f>
        <v>2.1125978716532499E-3</v>
      </c>
      <c r="I35" s="6">
        <f>AVERAGE(H35:H45)</f>
        <v>2.7976645908332366E-3</v>
      </c>
    </row>
    <row r="36" spans="1:9" x14ac:dyDescent="0.35">
      <c r="A36" t="s">
        <v>8</v>
      </c>
      <c r="B36">
        <v>5</v>
      </c>
      <c r="C36">
        <v>41</v>
      </c>
      <c r="D36" s="3">
        <v>43125.904199896482</v>
      </c>
      <c r="E36" s="3">
        <v>43125.904199897093</v>
      </c>
      <c r="F36">
        <v>0</v>
      </c>
      <c r="G36" s="3">
        <v>7.30899977684021</v>
      </c>
      <c r="H36" s="5">
        <f t="shared" ref="H36:H45" si="1">(D25-D36)/D25</f>
        <v>2.2078773596413406E-3</v>
      </c>
    </row>
    <row r="37" spans="1:9" x14ac:dyDescent="0.35">
      <c r="A37" t="s">
        <v>8</v>
      </c>
      <c r="B37">
        <v>5</v>
      </c>
      <c r="C37">
        <v>42</v>
      </c>
      <c r="D37" s="3">
        <v>44476.404219688033</v>
      </c>
      <c r="E37" s="3">
        <v>44476.404219688469</v>
      </c>
      <c r="F37">
        <v>0</v>
      </c>
      <c r="G37" s="3">
        <v>8.8630001544952393</v>
      </c>
      <c r="H37" s="5">
        <f t="shared" si="1"/>
        <v>2.2543738019451046E-3</v>
      </c>
    </row>
    <row r="38" spans="1:9" x14ac:dyDescent="0.35">
      <c r="A38" t="s">
        <v>8</v>
      </c>
      <c r="B38">
        <v>5</v>
      </c>
      <c r="C38">
        <v>43</v>
      </c>
      <c r="D38" s="3">
        <v>43043.064596661046</v>
      </c>
      <c r="E38" s="3">
        <v>43043.064596661286</v>
      </c>
      <c r="F38">
        <v>0</v>
      </c>
      <c r="G38" s="3">
        <v>5.6419999599456787</v>
      </c>
      <c r="H38" s="5">
        <f t="shared" si="1"/>
        <v>4.3972040152915294E-3</v>
      </c>
    </row>
    <row r="39" spans="1:9" x14ac:dyDescent="0.35">
      <c r="A39" t="s">
        <v>8</v>
      </c>
      <c r="B39">
        <v>5</v>
      </c>
      <c r="C39">
        <v>44</v>
      </c>
      <c r="D39" s="3">
        <v>44802.617706774698</v>
      </c>
      <c r="E39" s="3">
        <v>44802.617706774981</v>
      </c>
      <c r="F39">
        <v>0</v>
      </c>
      <c r="G39" s="3">
        <v>4.6840002536773682</v>
      </c>
      <c r="H39" s="5">
        <f t="shared" si="1"/>
        <v>3.2724666320307358E-3</v>
      </c>
    </row>
    <row r="40" spans="1:9" x14ac:dyDescent="0.35">
      <c r="A40" t="s">
        <v>8</v>
      </c>
      <c r="B40">
        <v>5</v>
      </c>
      <c r="C40">
        <v>45</v>
      </c>
      <c r="D40" s="3">
        <v>43809.484791168303</v>
      </c>
      <c r="E40" s="3">
        <v>43809.484791169089</v>
      </c>
      <c r="F40">
        <v>0</v>
      </c>
      <c r="G40" s="3">
        <v>4.5999999046325684</v>
      </c>
      <c r="H40" s="5">
        <f t="shared" si="1"/>
        <v>2.7127383357922578E-3</v>
      </c>
    </row>
    <row r="41" spans="1:9" x14ac:dyDescent="0.35">
      <c r="A41" t="s">
        <v>8</v>
      </c>
      <c r="B41">
        <v>5</v>
      </c>
      <c r="C41">
        <v>46</v>
      </c>
      <c r="D41" s="3">
        <v>44989.812647280938</v>
      </c>
      <c r="E41" s="3">
        <v>44989.812647281011</v>
      </c>
      <c r="F41">
        <v>0</v>
      </c>
      <c r="G41" s="3">
        <v>4.6310000419616699</v>
      </c>
      <c r="H41" s="5">
        <f t="shared" si="1"/>
        <v>2.0562609930152458E-3</v>
      </c>
    </row>
    <row r="42" spans="1:9" x14ac:dyDescent="0.35">
      <c r="A42" t="s">
        <v>8</v>
      </c>
      <c r="B42">
        <v>5</v>
      </c>
      <c r="C42">
        <v>47</v>
      </c>
      <c r="D42" s="3">
        <v>43218.426913186413</v>
      </c>
      <c r="E42" s="3">
        <v>43218.426913186733</v>
      </c>
      <c r="F42">
        <v>0</v>
      </c>
      <c r="G42" s="3">
        <v>5.0669999122619629</v>
      </c>
      <c r="H42" s="5">
        <f t="shared" si="1"/>
        <v>3.5366878171646733E-3</v>
      </c>
    </row>
    <row r="43" spans="1:9" x14ac:dyDescent="0.35">
      <c r="A43" t="s">
        <v>8</v>
      </c>
      <c r="B43">
        <v>5</v>
      </c>
      <c r="C43">
        <v>48</v>
      </c>
      <c r="D43" s="3">
        <v>42814.328592849277</v>
      </c>
      <c r="E43" s="3">
        <v>42814.328592849677</v>
      </c>
      <c r="F43">
        <v>0</v>
      </c>
      <c r="G43" s="3">
        <v>4.9489998817443848</v>
      </c>
      <c r="H43" s="5">
        <f t="shared" si="1"/>
        <v>2.2629461465899173E-3</v>
      </c>
    </row>
    <row r="44" spans="1:9" x14ac:dyDescent="0.35">
      <c r="A44" t="s">
        <v>8</v>
      </c>
      <c r="B44">
        <v>5</v>
      </c>
      <c r="C44">
        <v>49</v>
      </c>
      <c r="D44" s="3">
        <v>42770.723710641687</v>
      </c>
      <c r="E44" s="3">
        <v>42770.723710642123</v>
      </c>
      <c r="F44">
        <v>0</v>
      </c>
      <c r="G44" s="3">
        <v>4.7939999103546143</v>
      </c>
      <c r="H44" s="5">
        <f t="shared" si="1"/>
        <v>3.799536496029968E-3</v>
      </c>
    </row>
    <row r="45" spans="1:9" x14ac:dyDescent="0.35">
      <c r="A45" t="s">
        <v>8</v>
      </c>
      <c r="B45">
        <v>5</v>
      </c>
      <c r="C45">
        <v>50</v>
      </c>
      <c r="D45" s="3">
        <v>43489.857635823268</v>
      </c>
      <c r="E45" s="3">
        <v>43489.857635823653</v>
      </c>
      <c r="F45">
        <v>0</v>
      </c>
      <c r="G45" s="3">
        <v>4.5239999294281006</v>
      </c>
      <c r="H45" s="5">
        <f t="shared" si="1"/>
        <v>2.1616210300115873E-3</v>
      </c>
    </row>
    <row r="46" spans="1:9" x14ac:dyDescent="0.35">
      <c r="A46" t="s">
        <v>7</v>
      </c>
      <c r="B46">
        <v>8</v>
      </c>
      <c r="C46">
        <v>40</v>
      </c>
      <c r="D46" s="3">
        <v>48988.736996312837</v>
      </c>
      <c r="E46" s="3">
        <v>48988.736996312837</v>
      </c>
      <c r="F46">
        <v>0</v>
      </c>
      <c r="G46" s="3">
        <v>5.1949999332427979</v>
      </c>
    </row>
    <row r="47" spans="1:9" x14ac:dyDescent="0.35">
      <c r="A47" t="s">
        <v>7</v>
      </c>
      <c r="B47">
        <v>8</v>
      </c>
      <c r="C47">
        <v>41</v>
      </c>
      <c r="D47" s="3">
        <v>47622.011187615593</v>
      </c>
      <c r="E47" s="3">
        <v>47622.011187615593</v>
      </c>
      <c r="F47">
        <v>0</v>
      </c>
      <c r="G47" s="3">
        <v>4.9419999122619629</v>
      </c>
    </row>
    <row r="48" spans="1:9" x14ac:dyDescent="0.35">
      <c r="A48" t="s">
        <v>7</v>
      </c>
      <c r="B48">
        <v>8</v>
      </c>
      <c r="C48">
        <v>42</v>
      </c>
      <c r="D48" s="3">
        <v>48936.574103310923</v>
      </c>
      <c r="E48" s="3">
        <v>48936.574103310923</v>
      </c>
      <c r="F48">
        <v>0</v>
      </c>
      <c r="G48" s="3">
        <v>6.1059999465942383</v>
      </c>
    </row>
    <row r="49" spans="1:9" x14ac:dyDescent="0.35">
      <c r="A49" t="s">
        <v>7</v>
      </c>
      <c r="B49">
        <v>8</v>
      </c>
      <c r="C49">
        <v>43</v>
      </c>
      <c r="D49" s="3">
        <v>47411.900306025047</v>
      </c>
      <c r="E49" s="3">
        <v>47411.900306025047</v>
      </c>
      <c r="F49">
        <v>0</v>
      </c>
      <c r="G49" s="3">
        <v>4.9040000438690194</v>
      </c>
    </row>
    <row r="50" spans="1:9" x14ac:dyDescent="0.35">
      <c r="A50" t="s">
        <v>7</v>
      </c>
      <c r="B50">
        <v>8</v>
      </c>
      <c r="C50">
        <v>44</v>
      </c>
      <c r="D50" s="3">
        <v>48506.520245498083</v>
      </c>
      <c r="E50" s="3">
        <v>48506.520245498083</v>
      </c>
      <c r="F50">
        <v>0</v>
      </c>
      <c r="G50" s="3">
        <v>6.0199999809265137</v>
      </c>
    </row>
    <row r="51" spans="1:9" x14ac:dyDescent="0.35">
      <c r="A51" t="s">
        <v>7</v>
      </c>
      <c r="B51">
        <v>8</v>
      </c>
      <c r="C51">
        <v>45</v>
      </c>
      <c r="D51" s="3">
        <v>47850.285215357297</v>
      </c>
      <c r="E51" s="3">
        <v>47850.285215357297</v>
      </c>
      <c r="F51">
        <v>0</v>
      </c>
      <c r="G51" s="3">
        <v>5.3629999160766602</v>
      </c>
    </row>
    <row r="52" spans="1:9" x14ac:dyDescent="0.35">
      <c r="A52" t="s">
        <v>7</v>
      </c>
      <c r="B52">
        <v>8</v>
      </c>
      <c r="C52">
        <v>46</v>
      </c>
      <c r="D52" s="3">
        <v>50872.439112269982</v>
      </c>
      <c r="E52" s="3">
        <v>50872.439112269982</v>
      </c>
      <c r="F52">
        <v>0</v>
      </c>
      <c r="G52" s="3">
        <v>6.9869999885559082</v>
      </c>
    </row>
    <row r="53" spans="1:9" x14ac:dyDescent="0.35">
      <c r="A53" t="s">
        <v>7</v>
      </c>
      <c r="B53">
        <v>8</v>
      </c>
      <c r="C53">
        <v>47</v>
      </c>
      <c r="D53" s="3">
        <v>47749.027609450553</v>
      </c>
      <c r="E53" s="3">
        <v>47749.027609450553</v>
      </c>
      <c r="F53">
        <v>0</v>
      </c>
      <c r="G53" s="3">
        <v>5.2710001468658447</v>
      </c>
    </row>
    <row r="54" spans="1:9" x14ac:dyDescent="0.35">
      <c r="A54" t="s">
        <v>7</v>
      </c>
      <c r="B54">
        <v>8</v>
      </c>
      <c r="C54">
        <v>48</v>
      </c>
      <c r="D54" s="3">
        <v>49110.430310636577</v>
      </c>
      <c r="E54" s="3">
        <v>49110.430310636577</v>
      </c>
      <c r="F54">
        <v>0</v>
      </c>
      <c r="G54" s="3">
        <v>6.8799998760223389</v>
      </c>
    </row>
    <row r="55" spans="1:9" x14ac:dyDescent="0.35">
      <c r="A55" t="s">
        <v>7</v>
      </c>
      <c r="B55">
        <v>8</v>
      </c>
      <c r="C55">
        <v>49</v>
      </c>
      <c r="D55" s="3">
        <v>47213.511287721747</v>
      </c>
      <c r="E55" s="3">
        <v>47213.511287721747</v>
      </c>
      <c r="F55">
        <v>0</v>
      </c>
      <c r="G55" s="3">
        <v>5.5509998798370361</v>
      </c>
    </row>
    <row r="56" spans="1:9" x14ac:dyDescent="0.35">
      <c r="A56" t="s">
        <v>7</v>
      </c>
      <c r="B56">
        <v>8</v>
      </c>
      <c r="C56">
        <v>50</v>
      </c>
      <c r="D56" s="3">
        <v>47978.618083253721</v>
      </c>
      <c r="E56" s="3">
        <v>47978.618083253721</v>
      </c>
      <c r="F56">
        <v>0</v>
      </c>
      <c r="G56" s="3">
        <v>5.3980000019073486</v>
      </c>
    </row>
    <row r="57" spans="1:9" x14ac:dyDescent="0.35">
      <c r="A57" t="s">
        <v>8</v>
      </c>
      <c r="B57">
        <v>8</v>
      </c>
      <c r="C57">
        <v>40</v>
      </c>
      <c r="D57" s="3">
        <v>48860.240124103191</v>
      </c>
      <c r="E57" s="3">
        <v>48860.240124103213</v>
      </c>
      <c r="F57">
        <v>0</v>
      </c>
      <c r="G57" s="3">
        <v>6.7739999294281006</v>
      </c>
      <c r="H57" s="5">
        <f>(D46-D57)/D46</f>
        <v>2.6229880598741891E-3</v>
      </c>
      <c r="I57" s="6">
        <f>AVERAGE(H57:H67)</f>
        <v>4.3382448520964262E-3</v>
      </c>
    </row>
    <row r="58" spans="1:9" x14ac:dyDescent="0.35">
      <c r="A58" t="s">
        <v>8</v>
      </c>
      <c r="B58">
        <v>8</v>
      </c>
      <c r="C58">
        <v>41</v>
      </c>
      <c r="D58" s="3">
        <v>47442.033984278838</v>
      </c>
      <c r="E58" s="3">
        <v>47442.033984279333</v>
      </c>
      <c r="F58">
        <v>0</v>
      </c>
      <c r="G58" s="3">
        <v>8.6129999160766602</v>
      </c>
      <c r="H58" s="5">
        <f t="shared" ref="H58:H67" si="2">(D47-D58)/D47</f>
        <v>3.7792860664305492E-3</v>
      </c>
    </row>
    <row r="59" spans="1:9" x14ac:dyDescent="0.35">
      <c r="A59" t="s">
        <v>8</v>
      </c>
      <c r="B59">
        <v>8</v>
      </c>
      <c r="C59">
        <v>42</v>
      </c>
      <c r="D59" s="3">
        <v>48786.853178991092</v>
      </c>
      <c r="E59" s="3">
        <v>48786.853178991369</v>
      </c>
      <c r="F59">
        <v>0</v>
      </c>
      <c r="G59" s="3">
        <v>9.1530001163482666</v>
      </c>
      <c r="H59" s="5">
        <f t="shared" si="2"/>
        <v>3.0594892892124347E-3</v>
      </c>
    </row>
    <row r="60" spans="1:9" x14ac:dyDescent="0.35">
      <c r="A60" t="s">
        <v>8</v>
      </c>
      <c r="B60">
        <v>8</v>
      </c>
      <c r="C60">
        <v>43</v>
      </c>
      <c r="D60" s="3">
        <v>47021.095372477852</v>
      </c>
      <c r="E60" s="3">
        <v>47021.095372477852</v>
      </c>
      <c r="F60">
        <v>0</v>
      </c>
      <c r="G60" s="3">
        <v>8.7840001583099365</v>
      </c>
      <c r="H60" s="5">
        <f t="shared" si="2"/>
        <v>8.2427603834628847E-3</v>
      </c>
    </row>
    <row r="61" spans="1:9" x14ac:dyDescent="0.35">
      <c r="A61" t="s">
        <v>8</v>
      </c>
      <c r="B61">
        <v>8</v>
      </c>
      <c r="C61">
        <v>44</v>
      </c>
      <c r="D61" s="3">
        <v>48313.940085912473</v>
      </c>
      <c r="E61" s="3">
        <v>48313.940085912473</v>
      </c>
      <c r="F61">
        <v>0</v>
      </c>
      <c r="G61" s="3">
        <v>8.9539999961853027</v>
      </c>
      <c r="H61" s="5">
        <f t="shared" si="2"/>
        <v>3.9701911951411017E-3</v>
      </c>
    </row>
    <row r="62" spans="1:9" x14ac:dyDescent="0.35">
      <c r="A62" t="s">
        <v>8</v>
      </c>
      <c r="B62">
        <v>8</v>
      </c>
      <c r="C62">
        <v>45</v>
      </c>
      <c r="D62" s="3">
        <v>47522.080767541047</v>
      </c>
      <c r="E62" s="3">
        <v>47522.080767541527</v>
      </c>
      <c r="F62">
        <v>0</v>
      </c>
      <c r="G62" s="3">
        <v>8.759000301361084</v>
      </c>
      <c r="H62" s="5">
        <f t="shared" si="2"/>
        <v>6.8589862388304902E-3</v>
      </c>
    </row>
    <row r="63" spans="1:9" x14ac:dyDescent="0.35">
      <c r="A63" t="s">
        <v>8</v>
      </c>
      <c r="B63">
        <v>8</v>
      </c>
      <c r="C63">
        <v>46</v>
      </c>
      <c r="D63" s="3">
        <v>50708.309854826737</v>
      </c>
      <c r="E63" s="3">
        <v>50708.309854826737</v>
      </c>
      <c r="F63">
        <v>0</v>
      </c>
      <c r="G63" s="3">
        <v>9.4219999313354492</v>
      </c>
      <c r="H63" s="5">
        <f t="shared" si="2"/>
        <v>3.2262903117546422E-3</v>
      </c>
    </row>
    <row r="64" spans="1:9" x14ac:dyDescent="0.35">
      <c r="A64" t="s">
        <v>8</v>
      </c>
      <c r="B64">
        <v>8</v>
      </c>
      <c r="C64">
        <v>47</v>
      </c>
      <c r="D64" s="3">
        <v>47524.588860791417</v>
      </c>
      <c r="E64" s="3">
        <v>47524.588860791599</v>
      </c>
      <c r="F64">
        <v>0</v>
      </c>
      <c r="G64" s="3">
        <v>8.4779999256134033</v>
      </c>
      <c r="H64" s="5">
        <f t="shared" si="2"/>
        <v>4.7003836495869405E-3</v>
      </c>
    </row>
    <row r="65" spans="1:9" x14ac:dyDescent="0.35">
      <c r="A65" t="s">
        <v>8</v>
      </c>
      <c r="B65">
        <v>8</v>
      </c>
      <c r="C65">
        <v>48</v>
      </c>
      <c r="D65" s="3">
        <v>48976.102712344531</v>
      </c>
      <c r="E65" s="3">
        <v>48976.102712344917</v>
      </c>
      <c r="F65">
        <v>0</v>
      </c>
      <c r="G65" s="3">
        <v>9.0079998970031738</v>
      </c>
      <c r="H65" s="5">
        <f t="shared" si="2"/>
        <v>2.7352152575814948E-3</v>
      </c>
    </row>
    <row r="66" spans="1:9" x14ac:dyDescent="0.35">
      <c r="A66" t="s">
        <v>8</v>
      </c>
      <c r="B66">
        <v>8</v>
      </c>
      <c r="C66">
        <v>49</v>
      </c>
      <c r="D66" s="3">
        <v>46921.222613811791</v>
      </c>
      <c r="E66" s="3">
        <v>46921.222613812148</v>
      </c>
      <c r="F66">
        <v>0</v>
      </c>
      <c r="G66" s="3">
        <v>8.000999927520752</v>
      </c>
      <c r="H66" s="5">
        <f t="shared" si="2"/>
        <v>6.1907845008335113E-3</v>
      </c>
    </row>
    <row r="67" spans="1:9" x14ac:dyDescent="0.35">
      <c r="A67" t="s">
        <v>8</v>
      </c>
      <c r="B67">
        <v>8</v>
      </c>
      <c r="C67">
        <v>50</v>
      </c>
      <c r="D67" s="3">
        <v>47866.620711278927</v>
      </c>
      <c r="E67" s="3">
        <v>47866.620711279291</v>
      </c>
      <c r="F67">
        <v>0</v>
      </c>
      <c r="G67" s="3">
        <v>5.4509997367858887</v>
      </c>
      <c r="H67" s="5">
        <f t="shared" si="2"/>
        <v>2.3343184203524448E-3</v>
      </c>
    </row>
    <row r="68" spans="1:9" x14ac:dyDescent="0.35">
      <c r="A68" t="s">
        <v>7</v>
      </c>
      <c r="B68">
        <v>12</v>
      </c>
      <c r="C68">
        <v>40</v>
      </c>
      <c r="D68" s="3">
        <v>33375.231226851458</v>
      </c>
      <c r="E68" s="3">
        <v>33375.231226851458</v>
      </c>
      <c r="F68">
        <v>0</v>
      </c>
      <c r="G68" s="3">
        <v>5.3989999294281006</v>
      </c>
    </row>
    <row r="69" spans="1:9" x14ac:dyDescent="0.35">
      <c r="A69" t="s">
        <v>7</v>
      </c>
      <c r="B69">
        <v>12</v>
      </c>
      <c r="C69">
        <v>41</v>
      </c>
      <c r="D69" s="3">
        <v>31863.56471187275</v>
      </c>
      <c r="E69" s="3">
        <v>31863.56471187275</v>
      </c>
      <c r="F69">
        <v>0</v>
      </c>
      <c r="G69" s="3">
        <v>5.2109999656677246</v>
      </c>
    </row>
    <row r="70" spans="1:9" x14ac:dyDescent="0.35">
      <c r="A70" t="s">
        <v>7</v>
      </c>
      <c r="B70">
        <v>12</v>
      </c>
      <c r="C70">
        <v>42</v>
      </c>
      <c r="D70" s="3">
        <v>34681.129739380893</v>
      </c>
      <c r="E70" s="3">
        <v>34681.129739380893</v>
      </c>
      <c r="F70">
        <v>0</v>
      </c>
      <c r="G70" s="3">
        <v>7.3090000152587891</v>
      </c>
    </row>
    <row r="71" spans="1:9" x14ac:dyDescent="0.35">
      <c r="A71" t="s">
        <v>7</v>
      </c>
      <c r="B71">
        <v>12</v>
      </c>
      <c r="C71">
        <v>43</v>
      </c>
      <c r="D71" s="3">
        <v>31586.787195586039</v>
      </c>
      <c r="E71" s="3">
        <v>31586.787195586039</v>
      </c>
      <c r="F71">
        <v>0</v>
      </c>
      <c r="G71" s="3">
        <v>5.8610000610351563</v>
      </c>
    </row>
    <row r="72" spans="1:9" x14ac:dyDescent="0.35">
      <c r="A72" t="s">
        <v>7</v>
      </c>
      <c r="B72">
        <v>12</v>
      </c>
      <c r="C72">
        <v>44</v>
      </c>
      <c r="D72" s="3">
        <v>33416.04488123543</v>
      </c>
      <c r="E72" s="3">
        <v>33416.04488123543</v>
      </c>
      <c r="F72">
        <v>0</v>
      </c>
      <c r="G72" s="3">
        <v>6.6459999084472656</v>
      </c>
    </row>
    <row r="73" spans="1:9" x14ac:dyDescent="0.35">
      <c r="A73" t="s">
        <v>7</v>
      </c>
      <c r="B73">
        <v>12</v>
      </c>
      <c r="C73">
        <v>45</v>
      </c>
      <c r="D73" s="3">
        <v>33199.913718209762</v>
      </c>
      <c r="E73" s="3">
        <v>33199.913718209762</v>
      </c>
      <c r="F73">
        <v>0</v>
      </c>
      <c r="G73" s="3">
        <v>5.8299999237060547</v>
      </c>
    </row>
    <row r="74" spans="1:9" x14ac:dyDescent="0.35">
      <c r="A74" t="s">
        <v>7</v>
      </c>
      <c r="B74">
        <v>12</v>
      </c>
      <c r="C74">
        <v>46</v>
      </c>
      <c r="D74" s="3">
        <v>34146.372342064416</v>
      </c>
      <c r="E74" s="3">
        <v>34146.372342064416</v>
      </c>
      <c r="F74">
        <v>0</v>
      </c>
      <c r="G74" s="3">
        <v>9.7390000820159912</v>
      </c>
    </row>
    <row r="75" spans="1:9" x14ac:dyDescent="0.35">
      <c r="A75" t="s">
        <v>7</v>
      </c>
      <c r="B75">
        <v>12</v>
      </c>
      <c r="C75">
        <v>47</v>
      </c>
      <c r="D75" s="3">
        <v>31284.063318485569</v>
      </c>
      <c r="E75" s="3">
        <v>31284.063318485569</v>
      </c>
      <c r="F75">
        <v>0</v>
      </c>
      <c r="G75" s="3">
        <v>8.9889998435974121</v>
      </c>
    </row>
    <row r="76" spans="1:9" x14ac:dyDescent="0.35">
      <c r="A76" t="s">
        <v>7</v>
      </c>
      <c r="B76">
        <v>12</v>
      </c>
      <c r="C76">
        <v>48</v>
      </c>
      <c r="D76" s="3">
        <v>32387.482134356371</v>
      </c>
      <c r="E76" s="3">
        <v>32387.482134356371</v>
      </c>
      <c r="F76">
        <v>0</v>
      </c>
      <c r="G76" s="3">
        <v>9.1569998264312744</v>
      </c>
    </row>
    <row r="77" spans="1:9" x14ac:dyDescent="0.35">
      <c r="A77" t="s">
        <v>7</v>
      </c>
      <c r="B77">
        <v>12</v>
      </c>
      <c r="C77">
        <v>49</v>
      </c>
      <c r="D77" s="3">
        <v>30990.773936563812</v>
      </c>
      <c r="E77" s="3">
        <v>30990.773936563812</v>
      </c>
      <c r="F77">
        <v>0</v>
      </c>
      <c r="G77" s="3">
        <v>10.95799994468689</v>
      </c>
    </row>
    <row r="78" spans="1:9" x14ac:dyDescent="0.35">
      <c r="A78" t="s">
        <v>7</v>
      </c>
      <c r="B78">
        <v>12</v>
      </c>
      <c r="C78">
        <v>50</v>
      </c>
      <c r="D78" s="3">
        <v>31833.322550211979</v>
      </c>
      <c r="E78" s="3">
        <v>31833.322550211979</v>
      </c>
      <c r="F78">
        <v>0</v>
      </c>
      <c r="G78" s="3">
        <v>8.4249999523162842</v>
      </c>
    </row>
    <row r="79" spans="1:9" x14ac:dyDescent="0.35">
      <c r="A79" t="s">
        <v>8</v>
      </c>
      <c r="B79">
        <v>12</v>
      </c>
      <c r="C79">
        <v>40</v>
      </c>
      <c r="D79" s="3">
        <v>33219.05077046463</v>
      </c>
      <c r="E79" s="3">
        <v>33219.050770465074</v>
      </c>
      <c r="F79">
        <v>0</v>
      </c>
      <c r="G79" s="3">
        <v>8.6830000877380371</v>
      </c>
      <c r="H79" s="5">
        <f>(D68-D79)/D68</f>
        <v>4.6795318158328117E-3</v>
      </c>
      <c r="I79" s="6">
        <f>AVERAGE(H79:H89)</f>
        <v>7.5731075782476979E-3</v>
      </c>
    </row>
    <row r="80" spans="1:9" x14ac:dyDescent="0.35">
      <c r="A80" t="s">
        <v>8</v>
      </c>
      <c r="B80">
        <v>12</v>
      </c>
      <c r="C80">
        <v>41</v>
      </c>
      <c r="D80" s="3">
        <v>31677.603905158128</v>
      </c>
      <c r="E80" s="3">
        <v>31677.603905159151</v>
      </c>
      <c r="F80">
        <v>0</v>
      </c>
      <c r="G80" s="3">
        <v>9.1239998340606689</v>
      </c>
      <c r="H80" s="5">
        <f t="shared" ref="H80:H89" si="3">(D69-D80)/D69</f>
        <v>5.8361582703058525E-3</v>
      </c>
    </row>
    <row r="81" spans="1:8" x14ac:dyDescent="0.35">
      <c r="A81" t="s">
        <v>8</v>
      </c>
      <c r="B81">
        <v>12</v>
      </c>
      <c r="C81">
        <v>42</v>
      </c>
      <c r="D81" s="3">
        <v>34528.657660851874</v>
      </c>
      <c r="E81" s="3">
        <v>34528.657660852608</v>
      </c>
      <c r="F81">
        <v>0</v>
      </c>
      <c r="G81" s="3">
        <v>9.1029999256134033</v>
      </c>
      <c r="H81" s="5">
        <f t="shared" si="3"/>
        <v>4.3963988392190434E-3</v>
      </c>
    </row>
    <row r="82" spans="1:8" x14ac:dyDescent="0.35">
      <c r="A82" t="s">
        <v>8</v>
      </c>
      <c r="B82">
        <v>12</v>
      </c>
      <c r="C82">
        <v>43</v>
      </c>
      <c r="D82" s="3">
        <v>30953.000162409629</v>
      </c>
      <c r="E82" s="3">
        <v>30953.000162410321</v>
      </c>
      <c r="F82">
        <v>0</v>
      </c>
      <c r="G82" s="3">
        <v>9.6259996891021729</v>
      </c>
      <c r="H82" s="5">
        <f t="shared" si="3"/>
        <v>2.0064941370959551E-2</v>
      </c>
    </row>
    <row r="83" spans="1:8" x14ac:dyDescent="0.35">
      <c r="A83" t="s">
        <v>8</v>
      </c>
      <c r="B83">
        <v>12</v>
      </c>
      <c r="C83">
        <v>44</v>
      </c>
      <c r="D83" s="3">
        <v>33195.383212397872</v>
      </c>
      <c r="E83" s="3">
        <v>33195.383212398461</v>
      </c>
      <c r="F83">
        <v>0</v>
      </c>
      <c r="G83" s="3">
        <v>8.9739999771118164</v>
      </c>
      <c r="H83" s="5">
        <f t="shared" si="3"/>
        <v>6.6034645818143821E-3</v>
      </c>
    </row>
    <row r="84" spans="1:8" x14ac:dyDescent="0.35">
      <c r="A84" t="s">
        <v>8</v>
      </c>
      <c r="B84">
        <v>12</v>
      </c>
      <c r="C84">
        <v>45</v>
      </c>
      <c r="D84" s="3">
        <v>32899.87742998817</v>
      </c>
      <c r="E84" s="3">
        <v>32899.877429988977</v>
      </c>
      <c r="F84">
        <v>0</v>
      </c>
      <c r="G84" s="3">
        <v>9.442000150680542</v>
      </c>
      <c r="H84" s="5">
        <f t="shared" si="3"/>
        <v>9.037261083513777E-3</v>
      </c>
    </row>
    <row r="85" spans="1:8" x14ac:dyDescent="0.35">
      <c r="A85" t="s">
        <v>8</v>
      </c>
      <c r="B85">
        <v>12</v>
      </c>
      <c r="C85">
        <v>46</v>
      </c>
      <c r="D85" s="3">
        <v>33975.956080176147</v>
      </c>
      <c r="E85" s="3">
        <v>33975.95608017662</v>
      </c>
      <c r="F85">
        <v>0</v>
      </c>
      <c r="G85" s="3">
        <v>8.993999719619751</v>
      </c>
      <c r="H85" s="5">
        <f t="shared" si="3"/>
        <v>4.9907574421408129E-3</v>
      </c>
    </row>
    <row r="86" spans="1:8" x14ac:dyDescent="0.35">
      <c r="A86" t="s">
        <v>8</v>
      </c>
      <c r="B86">
        <v>12</v>
      </c>
      <c r="C86">
        <v>47</v>
      </c>
      <c r="D86" s="3">
        <v>31016.194388840831</v>
      </c>
      <c r="E86" s="3">
        <v>31016.194388841319</v>
      </c>
      <c r="F86">
        <v>0</v>
      </c>
      <c r="G86" s="3">
        <v>8.4559998512268066</v>
      </c>
      <c r="H86" s="5">
        <f t="shared" si="3"/>
        <v>8.5624724294192048E-3</v>
      </c>
    </row>
    <row r="87" spans="1:8" x14ac:dyDescent="0.35">
      <c r="A87" t="s">
        <v>8</v>
      </c>
      <c r="B87">
        <v>12</v>
      </c>
      <c r="C87">
        <v>48</v>
      </c>
      <c r="D87" s="3">
        <v>32242.328594483952</v>
      </c>
      <c r="E87" s="3">
        <v>32242.328594484548</v>
      </c>
      <c r="F87">
        <v>0</v>
      </c>
      <c r="G87" s="3">
        <v>5.9160001277923584</v>
      </c>
      <c r="H87" s="5">
        <f t="shared" si="3"/>
        <v>4.4817790796537835E-3</v>
      </c>
    </row>
    <row r="88" spans="1:8" x14ac:dyDescent="0.35">
      <c r="A88" t="s">
        <v>8</v>
      </c>
      <c r="B88">
        <v>12</v>
      </c>
      <c r="C88">
        <v>49</v>
      </c>
      <c r="D88" s="3">
        <v>30689.519784883709</v>
      </c>
      <c r="E88" s="3">
        <v>30689.5197848844</v>
      </c>
      <c r="F88">
        <v>0</v>
      </c>
      <c r="G88" s="3">
        <v>6.6099998950958252</v>
      </c>
      <c r="H88" s="5">
        <f t="shared" si="3"/>
        <v>9.7207689067963093E-3</v>
      </c>
    </row>
    <row r="89" spans="1:8" x14ac:dyDescent="0.35">
      <c r="A89" t="s">
        <v>8</v>
      </c>
      <c r="B89">
        <v>12</v>
      </c>
      <c r="C89">
        <v>50</v>
      </c>
      <c r="D89" s="3">
        <v>31676.36359298907</v>
      </c>
      <c r="E89" s="3">
        <v>31676.363592989521</v>
      </c>
      <c r="F89">
        <v>0</v>
      </c>
      <c r="G89" s="3">
        <v>5.4609999656677246</v>
      </c>
      <c r="H89" s="5">
        <f t="shared" si="3"/>
        <v>4.9306495410691466E-3</v>
      </c>
    </row>
    <row r="90" spans="1:8" x14ac:dyDescent="0.35">
      <c r="A90" t="s">
        <v>7</v>
      </c>
      <c r="B90">
        <v>18</v>
      </c>
      <c r="C90">
        <v>40</v>
      </c>
      <c r="D90" s="3">
        <v>30783.387801393561</v>
      </c>
      <c r="E90" s="3">
        <v>30783.387801393561</v>
      </c>
      <c r="F90">
        <v>0</v>
      </c>
      <c r="G90" s="3">
        <v>5.4879999160766602</v>
      </c>
    </row>
    <row r="91" spans="1:8" x14ac:dyDescent="0.35">
      <c r="A91" t="s">
        <v>7</v>
      </c>
      <c r="B91">
        <v>18</v>
      </c>
      <c r="C91">
        <v>41</v>
      </c>
      <c r="D91" s="3">
        <v>33656.958609955604</v>
      </c>
      <c r="E91" s="3">
        <v>33656.958609955604</v>
      </c>
      <c r="F91">
        <v>0</v>
      </c>
      <c r="G91" s="3">
        <v>6.8680000305175781</v>
      </c>
    </row>
    <row r="92" spans="1:8" x14ac:dyDescent="0.35">
      <c r="A92" t="s">
        <v>7</v>
      </c>
      <c r="B92">
        <v>18</v>
      </c>
      <c r="C92">
        <v>42</v>
      </c>
      <c r="D92" s="3">
        <v>33900.189282551553</v>
      </c>
      <c r="E92" s="3">
        <v>33900.189282551553</v>
      </c>
      <c r="F92">
        <v>0</v>
      </c>
      <c r="G92" s="3">
        <v>6.3819999694824219</v>
      </c>
    </row>
    <row r="93" spans="1:8" x14ac:dyDescent="0.35">
      <c r="A93" t="s">
        <v>7</v>
      </c>
      <c r="B93">
        <v>18</v>
      </c>
      <c r="C93">
        <v>43</v>
      </c>
      <c r="D93" s="3">
        <v>31150.31775813927</v>
      </c>
      <c r="E93" s="3">
        <v>31150.31775813927</v>
      </c>
      <c r="F93">
        <v>0</v>
      </c>
      <c r="G93" s="3">
        <v>7.5999999046325684</v>
      </c>
    </row>
    <row r="94" spans="1:8" x14ac:dyDescent="0.35">
      <c r="A94" t="s">
        <v>7</v>
      </c>
      <c r="B94">
        <v>18</v>
      </c>
      <c r="C94">
        <v>44</v>
      </c>
      <c r="D94" s="3">
        <v>31050.75778215229</v>
      </c>
      <c r="E94" s="3">
        <v>31050.75778215229</v>
      </c>
      <c r="F94">
        <v>0</v>
      </c>
      <c r="G94" s="3">
        <v>7.5169999599456787</v>
      </c>
    </row>
    <row r="95" spans="1:8" x14ac:dyDescent="0.35">
      <c r="A95" t="s">
        <v>7</v>
      </c>
      <c r="B95">
        <v>18</v>
      </c>
      <c r="C95">
        <v>45</v>
      </c>
      <c r="D95" s="3">
        <v>33270.878705130497</v>
      </c>
      <c r="E95" s="3">
        <v>33270.878705130497</v>
      </c>
      <c r="F95">
        <v>0</v>
      </c>
      <c r="G95" s="3">
        <v>6.4830000400543213</v>
      </c>
    </row>
    <row r="96" spans="1:8" x14ac:dyDescent="0.35">
      <c r="A96" t="s">
        <v>7</v>
      </c>
      <c r="B96">
        <v>18</v>
      </c>
      <c r="C96">
        <v>46</v>
      </c>
      <c r="D96" s="3">
        <v>31689.066997165661</v>
      </c>
      <c r="E96" s="3">
        <v>31689.066997165661</v>
      </c>
      <c r="F96">
        <v>0</v>
      </c>
      <c r="G96" s="3">
        <v>5.9659998416900626</v>
      </c>
    </row>
    <row r="97" spans="1:9" x14ac:dyDescent="0.35">
      <c r="A97" t="s">
        <v>7</v>
      </c>
      <c r="B97">
        <v>18</v>
      </c>
      <c r="C97">
        <v>47</v>
      </c>
      <c r="D97" s="3">
        <v>31256.2816608822</v>
      </c>
      <c r="E97" s="3">
        <v>31256.2816608822</v>
      </c>
      <c r="F97">
        <v>0</v>
      </c>
      <c r="G97" s="3">
        <v>6.3680000305175781</v>
      </c>
    </row>
    <row r="98" spans="1:9" x14ac:dyDescent="0.35">
      <c r="A98" t="s">
        <v>7</v>
      </c>
      <c r="B98">
        <v>18</v>
      </c>
      <c r="C98">
        <v>48</v>
      </c>
      <c r="D98" s="3">
        <v>34296.426607519999</v>
      </c>
      <c r="E98" s="3">
        <v>34296.426607519999</v>
      </c>
      <c r="F98">
        <v>0</v>
      </c>
      <c r="G98" s="3">
        <v>5.9119999408721924</v>
      </c>
    </row>
    <row r="99" spans="1:9" x14ac:dyDescent="0.35">
      <c r="A99" t="s">
        <v>7</v>
      </c>
      <c r="B99">
        <v>18</v>
      </c>
      <c r="C99">
        <v>49</v>
      </c>
      <c r="D99" s="3">
        <v>30723.536962514248</v>
      </c>
      <c r="E99" s="3">
        <v>30723.536962514248</v>
      </c>
      <c r="F99">
        <v>0</v>
      </c>
      <c r="G99" s="3">
        <v>6.3909997940063477</v>
      </c>
    </row>
    <row r="100" spans="1:9" x14ac:dyDescent="0.35">
      <c r="A100" t="s">
        <v>7</v>
      </c>
      <c r="B100">
        <v>18</v>
      </c>
      <c r="C100">
        <v>50</v>
      </c>
      <c r="D100" s="3">
        <v>31838.191296243971</v>
      </c>
      <c r="E100" s="3">
        <v>31838.191296243971</v>
      </c>
      <c r="F100">
        <v>0</v>
      </c>
      <c r="G100" s="3">
        <v>6.682999849319458</v>
      </c>
    </row>
    <row r="101" spans="1:9" x14ac:dyDescent="0.35">
      <c r="A101" t="s">
        <v>8</v>
      </c>
      <c r="B101">
        <v>18</v>
      </c>
      <c r="C101">
        <v>40</v>
      </c>
      <c r="D101" s="3">
        <v>30614.402579488309</v>
      </c>
      <c r="E101" s="3">
        <v>30614.402579488858</v>
      </c>
      <c r="F101">
        <v>0</v>
      </c>
      <c r="G101" s="3">
        <v>9.2239999771118164</v>
      </c>
      <c r="H101" s="5">
        <f>(D90-D101)/D90</f>
        <v>5.4894939762803454E-3</v>
      </c>
      <c r="I101" s="6">
        <f>AVERAGE(H101:H111)</f>
        <v>6.9664052310456255E-3</v>
      </c>
    </row>
    <row r="102" spans="1:9" x14ac:dyDescent="0.35">
      <c r="A102" t="s">
        <v>8</v>
      </c>
      <c r="B102">
        <v>18</v>
      </c>
      <c r="C102">
        <v>41</v>
      </c>
      <c r="D102" s="3">
        <v>33465.736570594097</v>
      </c>
      <c r="E102" s="3">
        <v>33465.736570594832</v>
      </c>
      <c r="F102">
        <v>0</v>
      </c>
      <c r="G102" s="3">
        <v>9.7520003318786621</v>
      </c>
      <c r="H102" s="5">
        <f t="shared" ref="H102:H111" si="4">(D91-D102)/D91</f>
        <v>5.6815008622004073E-3</v>
      </c>
    </row>
    <row r="103" spans="1:9" x14ac:dyDescent="0.35">
      <c r="A103" t="s">
        <v>8</v>
      </c>
      <c r="B103">
        <v>18</v>
      </c>
      <c r="C103">
        <v>42</v>
      </c>
      <c r="D103" s="3">
        <v>33696.224597511253</v>
      </c>
      <c r="E103" s="3">
        <v>33696.224597512119</v>
      </c>
      <c r="F103">
        <v>0</v>
      </c>
      <c r="G103" s="3">
        <v>9.8799998760223389</v>
      </c>
      <c r="H103" s="5">
        <f t="shared" si="4"/>
        <v>6.0166237816636995E-3</v>
      </c>
    </row>
    <row r="104" spans="1:9" x14ac:dyDescent="0.35">
      <c r="A104" t="s">
        <v>8</v>
      </c>
      <c r="B104">
        <v>18</v>
      </c>
      <c r="C104">
        <v>43</v>
      </c>
      <c r="D104" s="3">
        <v>30874.359258089491</v>
      </c>
      <c r="E104" s="3">
        <v>30874.359258090259</v>
      </c>
      <c r="F104">
        <v>0</v>
      </c>
      <c r="G104" s="3">
        <v>5.8720002174377441</v>
      </c>
      <c r="H104" s="5">
        <f t="shared" si="4"/>
        <v>8.8589304992779359E-3</v>
      </c>
    </row>
    <row r="105" spans="1:9" x14ac:dyDescent="0.35">
      <c r="A105" t="s">
        <v>8</v>
      </c>
      <c r="B105">
        <v>18</v>
      </c>
      <c r="C105">
        <v>44</v>
      </c>
      <c r="D105" s="3">
        <v>30828.729879896091</v>
      </c>
      <c r="E105" s="3">
        <v>30828.72987989691</v>
      </c>
      <c r="F105">
        <v>0</v>
      </c>
      <c r="G105" s="3">
        <v>6.0999999046325684</v>
      </c>
      <c r="H105" s="5">
        <f t="shared" si="4"/>
        <v>7.1504825683777274E-3</v>
      </c>
    </row>
    <row r="106" spans="1:9" x14ac:dyDescent="0.35">
      <c r="A106" t="s">
        <v>8</v>
      </c>
      <c r="B106">
        <v>18</v>
      </c>
      <c r="C106">
        <v>45</v>
      </c>
      <c r="D106" s="3">
        <v>32869.297203740112</v>
      </c>
      <c r="E106" s="3">
        <v>32869.29720374124</v>
      </c>
      <c r="F106">
        <v>0</v>
      </c>
      <c r="G106" s="3">
        <v>5.7690000534057617</v>
      </c>
      <c r="H106" s="5">
        <f t="shared" si="4"/>
        <v>1.2070059974955197E-2</v>
      </c>
    </row>
    <row r="107" spans="1:9" x14ac:dyDescent="0.35">
      <c r="A107" t="s">
        <v>8</v>
      </c>
      <c r="B107">
        <v>18</v>
      </c>
      <c r="C107">
        <v>46</v>
      </c>
      <c r="D107" s="3">
        <v>31526.275849367121</v>
      </c>
      <c r="E107" s="3">
        <v>31526.27584936779</v>
      </c>
      <c r="F107">
        <v>0</v>
      </c>
      <c r="G107" s="3">
        <v>6.059999942779541</v>
      </c>
      <c r="H107" s="5">
        <f t="shared" si="4"/>
        <v>5.13713918472577E-3</v>
      </c>
    </row>
    <row r="108" spans="1:9" x14ac:dyDescent="0.35">
      <c r="A108" t="s">
        <v>8</v>
      </c>
      <c r="B108">
        <v>18</v>
      </c>
      <c r="C108">
        <v>47</v>
      </c>
      <c r="D108" s="3">
        <v>30986.92601443101</v>
      </c>
      <c r="E108" s="3">
        <v>30986.926014431108</v>
      </c>
      <c r="F108">
        <v>0</v>
      </c>
      <c r="G108" s="3">
        <v>6.0820000171661377</v>
      </c>
      <c r="H108" s="5">
        <f t="shared" si="4"/>
        <v>8.6176484257976475E-3</v>
      </c>
    </row>
    <row r="109" spans="1:9" x14ac:dyDescent="0.35">
      <c r="A109" t="s">
        <v>8</v>
      </c>
      <c r="B109">
        <v>18</v>
      </c>
      <c r="C109">
        <v>48</v>
      </c>
      <c r="D109" s="3">
        <v>34124.221184622911</v>
      </c>
      <c r="E109" s="3">
        <v>34124.221184623981</v>
      </c>
      <c r="F109">
        <v>0</v>
      </c>
      <c r="G109" s="3">
        <v>6.0940001010894784</v>
      </c>
      <c r="H109" s="5">
        <f t="shared" si="4"/>
        <v>5.0210893650165199E-3</v>
      </c>
    </row>
    <row r="110" spans="1:9" x14ac:dyDescent="0.35">
      <c r="A110" t="s">
        <v>8</v>
      </c>
      <c r="B110">
        <v>18</v>
      </c>
      <c r="C110">
        <v>49</v>
      </c>
      <c r="D110" s="3">
        <v>30512.330191172001</v>
      </c>
      <c r="E110" s="3">
        <v>30512.330191173169</v>
      </c>
      <c r="F110">
        <v>0</v>
      </c>
      <c r="G110" s="3">
        <v>6.0989999771118164</v>
      </c>
      <c r="H110" s="5">
        <f t="shared" si="4"/>
        <v>6.8744289304952313E-3</v>
      </c>
    </row>
    <row r="111" spans="1:9" x14ac:dyDescent="0.35">
      <c r="A111" t="s">
        <v>8</v>
      </c>
      <c r="B111">
        <v>18</v>
      </c>
      <c r="C111">
        <v>50</v>
      </c>
      <c r="D111" s="3">
        <v>31656.297799945871</v>
      </c>
      <c r="E111" s="3">
        <v>31656.297799946409</v>
      </c>
      <c r="F111">
        <v>0</v>
      </c>
      <c r="G111" s="3">
        <v>5.9749999046325684</v>
      </c>
      <c r="H111" s="5">
        <f t="shared" si="4"/>
        <v>5.7130599727114092E-3</v>
      </c>
    </row>
    <row r="112" spans="1:9" x14ac:dyDescent="0.35">
      <c r="A112" t="s">
        <v>7</v>
      </c>
      <c r="B112">
        <v>25</v>
      </c>
      <c r="C112">
        <v>40</v>
      </c>
      <c r="D112" s="3">
        <v>30874.819660399378</v>
      </c>
      <c r="E112" s="3">
        <v>30874.819660399378</v>
      </c>
      <c r="F112">
        <v>0</v>
      </c>
      <c r="G112" s="3">
        <v>6.125</v>
      </c>
    </row>
    <row r="113" spans="1:9" x14ac:dyDescent="0.35">
      <c r="A113" t="s">
        <v>7</v>
      </c>
      <c r="B113">
        <v>25</v>
      </c>
      <c r="C113">
        <v>41</v>
      </c>
      <c r="D113" s="3">
        <v>31925.44076765759</v>
      </c>
      <c r="E113" s="3">
        <v>31925.44076765759</v>
      </c>
      <c r="F113">
        <v>0</v>
      </c>
      <c r="G113" s="3">
        <v>5.7219998836517334</v>
      </c>
    </row>
    <row r="114" spans="1:9" x14ac:dyDescent="0.35">
      <c r="A114" t="s">
        <v>7</v>
      </c>
      <c r="B114">
        <v>25</v>
      </c>
      <c r="C114">
        <v>42</v>
      </c>
      <c r="D114" s="3">
        <v>33816.809123880987</v>
      </c>
      <c r="E114" s="3">
        <v>33816.809123880987</v>
      </c>
      <c r="F114">
        <v>0</v>
      </c>
      <c r="G114" s="3">
        <v>9.5799999237060547</v>
      </c>
    </row>
    <row r="115" spans="1:9" x14ac:dyDescent="0.35">
      <c r="A115" t="s">
        <v>7</v>
      </c>
      <c r="B115">
        <v>25</v>
      </c>
      <c r="C115">
        <v>43</v>
      </c>
      <c r="D115" s="3">
        <v>31191.972279319809</v>
      </c>
      <c r="E115" s="3">
        <v>31191.972279319809</v>
      </c>
      <c r="F115">
        <v>0</v>
      </c>
      <c r="G115" s="3">
        <v>11.229000091552731</v>
      </c>
    </row>
    <row r="116" spans="1:9" x14ac:dyDescent="0.35">
      <c r="A116" t="s">
        <v>7</v>
      </c>
      <c r="B116">
        <v>25</v>
      </c>
      <c r="C116">
        <v>44</v>
      </c>
      <c r="D116" s="3">
        <v>30946.573545491741</v>
      </c>
      <c r="E116" s="3">
        <v>30946.573545491741</v>
      </c>
      <c r="F116">
        <v>0</v>
      </c>
      <c r="G116" s="3">
        <v>11.25</v>
      </c>
    </row>
    <row r="117" spans="1:9" x14ac:dyDescent="0.35">
      <c r="A117" t="s">
        <v>7</v>
      </c>
      <c r="B117">
        <v>25</v>
      </c>
      <c r="C117">
        <v>45</v>
      </c>
      <c r="D117" s="3">
        <v>33267.914915560163</v>
      </c>
      <c r="E117" s="3">
        <v>33267.914915560163</v>
      </c>
      <c r="F117">
        <v>0</v>
      </c>
      <c r="G117" s="3">
        <v>11.75399994850159</v>
      </c>
    </row>
    <row r="118" spans="1:9" x14ac:dyDescent="0.35">
      <c r="A118" t="s">
        <v>7</v>
      </c>
      <c r="B118">
        <v>25</v>
      </c>
      <c r="C118">
        <v>46</v>
      </c>
      <c r="D118" s="3">
        <v>31629.194737625039</v>
      </c>
      <c r="E118" s="3">
        <v>31629.194737625039</v>
      </c>
      <c r="F118">
        <v>0</v>
      </c>
      <c r="G118" s="3">
        <v>10.657999992370611</v>
      </c>
    </row>
    <row r="119" spans="1:9" x14ac:dyDescent="0.35">
      <c r="A119" t="s">
        <v>7</v>
      </c>
      <c r="B119">
        <v>25</v>
      </c>
      <c r="C119">
        <v>47</v>
      </c>
      <c r="D119" s="3">
        <v>31281.52749497</v>
      </c>
      <c r="E119" s="3">
        <v>31281.52749497</v>
      </c>
      <c r="F119">
        <v>0</v>
      </c>
      <c r="G119" s="3">
        <v>9.869999885559082</v>
      </c>
    </row>
    <row r="120" spans="1:9" x14ac:dyDescent="0.35">
      <c r="A120" t="s">
        <v>7</v>
      </c>
      <c r="B120">
        <v>25</v>
      </c>
      <c r="C120">
        <v>48</v>
      </c>
      <c r="D120" s="3">
        <v>34096.478912992308</v>
      </c>
      <c r="E120" s="3">
        <v>34096.478912992308</v>
      </c>
      <c r="F120">
        <v>0</v>
      </c>
      <c r="G120" s="3">
        <v>11.38800001144409</v>
      </c>
    </row>
    <row r="121" spans="1:9" x14ac:dyDescent="0.35">
      <c r="A121" t="s">
        <v>7</v>
      </c>
      <c r="B121">
        <v>25</v>
      </c>
      <c r="C121">
        <v>49</v>
      </c>
      <c r="D121" s="3">
        <v>31780.939500225501</v>
      </c>
      <c r="E121" s="3">
        <v>31780.939500225501</v>
      </c>
      <c r="F121">
        <v>0</v>
      </c>
      <c r="G121" s="3">
        <v>9.6110000610351563</v>
      </c>
    </row>
    <row r="122" spans="1:9" x14ac:dyDescent="0.35">
      <c r="A122" t="s">
        <v>7</v>
      </c>
      <c r="B122">
        <v>25</v>
      </c>
      <c r="C122">
        <v>50</v>
      </c>
      <c r="D122" s="3">
        <v>32934.424316119919</v>
      </c>
      <c r="E122" s="3">
        <v>32934.424316119919</v>
      </c>
      <c r="F122">
        <v>0</v>
      </c>
      <c r="G122" s="3">
        <v>7.4309999942779541</v>
      </c>
    </row>
    <row r="123" spans="1:9" x14ac:dyDescent="0.35">
      <c r="A123" t="s">
        <v>8</v>
      </c>
      <c r="B123">
        <v>25</v>
      </c>
      <c r="C123">
        <v>40</v>
      </c>
      <c r="D123" s="3">
        <v>30597.315357942742</v>
      </c>
      <c r="E123" s="3">
        <v>30597.315357942742</v>
      </c>
      <c r="F123">
        <v>0</v>
      </c>
      <c r="G123" s="3">
        <v>6.0220000743865967</v>
      </c>
      <c r="H123" s="5">
        <f>(D112-D123)/D112</f>
        <v>8.9880461006406741E-3</v>
      </c>
      <c r="I123" s="6">
        <f>AVERAGE(H123:H133)</f>
        <v>8.9329477879887004E-3</v>
      </c>
    </row>
    <row r="124" spans="1:9" x14ac:dyDescent="0.35">
      <c r="A124" t="s">
        <v>8</v>
      </c>
      <c r="B124">
        <v>25</v>
      </c>
      <c r="C124">
        <v>41</v>
      </c>
      <c r="D124" s="3">
        <v>31671.369292033269</v>
      </c>
      <c r="E124" s="3">
        <v>31671.3692920338</v>
      </c>
      <c r="F124">
        <v>0</v>
      </c>
      <c r="G124" s="3">
        <v>6.1359999179840088</v>
      </c>
      <c r="H124" s="5">
        <f t="shared" ref="H124:H133" si="5">(D113-D124)/D113</f>
        <v>7.9582762059063339E-3</v>
      </c>
    </row>
    <row r="125" spans="1:9" x14ac:dyDescent="0.35">
      <c r="A125" t="s">
        <v>8</v>
      </c>
      <c r="B125">
        <v>25</v>
      </c>
      <c r="C125">
        <v>42</v>
      </c>
      <c r="D125" s="3">
        <v>33635.920425416472</v>
      </c>
      <c r="E125" s="3">
        <v>33635.920425416472</v>
      </c>
      <c r="F125">
        <v>0</v>
      </c>
      <c r="G125" s="3">
        <v>5.9470000267028809</v>
      </c>
      <c r="H125" s="5">
        <f t="shared" si="5"/>
        <v>5.3490764844744895E-3</v>
      </c>
    </row>
    <row r="126" spans="1:9" x14ac:dyDescent="0.35">
      <c r="A126" t="s">
        <v>8</v>
      </c>
      <c r="B126">
        <v>25</v>
      </c>
      <c r="C126">
        <v>43</v>
      </c>
      <c r="D126" s="3">
        <v>30947.953996887889</v>
      </c>
      <c r="E126" s="3">
        <v>30947.953996887951</v>
      </c>
      <c r="F126">
        <v>0</v>
      </c>
      <c r="G126" s="3">
        <v>6.6670000553131104</v>
      </c>
      <c r="H126" s="5">
        <f t="shared" si="5"/>
        <v>7.8231116726691693E-3</v>
      </c>
    </row>
    <row r="127" spans="1:9" x14ac:dyDescent="0.35">
      <c r="A127" t="s">
        <v>8</v>
      </c>
      <c r="B127">
        <v>25</v>
      </c>
      <c r="C127">
        <v>44</v>
      </c>
      <c r="D127" s="3">
        <v>30627.2781253385</v>
      </c>
      <c r="E127" s="3">
        <v>30627.2781253385</v>
      </c>
      <c r="F127">
        <v>0</v>
      </c>
      <c r="G127" s="3">
        <v>6.6410002708435059</v>
      </c>
      <c r="H127" s="5">
        <f t="shared" si="5"/>
        <v>1.0317634024454242E-2</v>
      </c>
    </row>
    <row r="128" spans="1:9" x14ac:dyDescent="0.35">
      <c r="A128" t="s">
        <v>8</v>
      </c>
      <c r="B128">
        <v>25</v>
      </c>
      <c r="C128">
        <v>45</v>
      </c>
      <c r="D128" s="3">
        <v>32866.732190093557</v>
      </c>
      <c r="E128" s="3">
        <v>32866.73219009395</v>
      </c>
      <c r="F128">
        <v>0</v>
      </c>
      <c r="G128" s="3">
        <v>6.55899977684021</v>
      </c>
      <c r="H128" s="5">
        <f t="shared" si="5"/>
        <v>1.2059148476388689E-2</v>
      </c>
    </row>
    <row r="129" spans="1:8" x14ac:dyDescent="0.35">
      <c r="A129" t="s">
        <v>8</v>
      </c>
      <c r="B129">
        <v>25</v>
      </c>
      <c r="C129">
        <v>46</v>
      </c>
      <c r="D129" s="3">
        <v>31445.534314984689</v>
      </c>
      <c r="E129" s="3">
        <v>31445.534314984769</v>
      </c>
      <c r="F129">
        <v>0</v>
      </c>
      <c r="G129" s="3">
        <v>6.4099998474121094</v>
      </c>
      <c r="H129" s="5">
        <f t="shared" si="5"/>
        <v>5.8066739973583409E-3</v>
      </c>
    </row>
    <row r="130" spans="1:8" x14ac:dyDescent="0.35">
      <c r="A130" t="s">
        <v>8</v>
      </c>
      <c r="B130">
        <v>25</v>
      </c>
      <c r="C130">
        <v>47</v>
      </c>
      <c r="D130" s="3">
        <v>30944.504603604739</v>
      </c>
      <c r="E130" s="3">
        <v>30944.504603604841</v>
      </c>
      <c r="F130">
        <v>0</v>
      </c>
      <c r="G130" s="3">
        <v>7.1510000228881836</v>
      </c>
      <c r="H130" s="5">
        <f t="shared" si="5"/>
        <v>1.0773862990528625E-2</v>
      </c>
    </row>
    <row r="131" spans="1:8" x14ac:dyDescent="0.35">
      <c r="A131" t="s">
        <v>8</v>
      </c>
      <c r="B131">
        <v>25</v>
      </c>
      <c r="C131">
        <v>48</v>
      </c>
      <c r="D131" s="3">
        <v>33874.311244142293</v>
      </c>
      <c r="E131" s="3">
        <v>33874.311244142307</v>
      </c>
      <c r="F131">
        <v>0</v>
      </c>
      <c r="G131" s="3">
        <v>6.6879997253417969</v>
      </c>
      <c r="H131" s="5">
        <f t="shared" si="5"/>
        <v>6.5158537166534122E-3</v>
      </c>
    </row>
    <row r="132" spans="1:8" x14ac:dyDescent="0.35">
      <c r="A132" t="s">
        <v>8</v>
      </c>
      <c r="B132">
        <v>25</v>
      </c>
      <c r="C132">
        <v>49</v>
      </c>
      <c r="D132" s="3">
        <v>31256.794352624489</v>
      </c>
      <c r="E132" s="3">
        <v>31256.794352624551</v>
      </c>
      <c r="F132">
        <v>0</v>
      </c>
      <c r="G132" s="3">
        <v>6.5699999332427979</v>
      </c>
      <c r="H132" s="5">
        <f t="shared" si="5"/>
        <v>1.6492437160244823E-2</v>
      </c>
    </row>
    <row r="133" spans="1:8" x14ac:dyDescent="0.35">
      <c r="A133" t="s">
        <v>8</v>
      </c>
      <c r="B133">
        <v>25</v>
      </c>
      <c r="C133">
        <v>50</v>
      </c>
      <c r="D133" s="3">
        <v>32730.945403012549</v>
      </c>
      <c r="E133" s="3">
        <v>32730.94540301276</v>
      </c>
      <c r="F133">
        <v>0</v>
      </c>
      <c r="G133" s="3">
        <v>6.6310000419616699</v>
      </c>
      <c r="H133" s="5">
        <f t="shared" si="5"/>
        <v>6.1783048385569183E-3</v>
      </c>
    </row>
    <row r="134" spans="1:8" x14ac:dyDescent="0.35">
      <c r="A134" t="s">
        <v>7</v>
      </c>
      <c r="B134">
        <v>35</v>
      </c>
      <c r="C134">
        <v>40</v>
      </c>
      <c r="D134" s="3">
        <v>35694.635225632432</v>
      </c>
      <c r="E134" s="3">
        <v>35694.635225632432</v>
      </c>
      <c r="F134">
        <v>0</v>
      </c>
      <c r="G134" s="3">
        <v>6.5799999237060547</v>
      </c>
    </row>
    <row r="135" spans="1:8" x14ac:dyDescent="0.35">
      <c r="A135" t="s">
        <v>7</v>
      </c>
      <c r="B135">
        <v>35</v>
      </c>
      <c r="C135">
        <v>41</v>
      </c>
      <c r="D135" s="3">
        <v>33708.816822224479</v>
      </c>
      <c r="E135" s="3">
        <v>33708.816822224479</v>
      </c>
      <c r="F135">
        <v>0</v>
      </c>
      <c r="G135" s="3">
        <v>6.4709999561309806</v>
      </c>
    </row>
    <row r="136" spans="1:8" x14ac:dyDescent="0.35">
      <c r="A136" t="s">
        <v>7</v>
      </c>
      <c r="B136">
        <v>35</v>
      </c>
      <c r="C136">
        <v>42</v>
      </c>
      <c r="D136" s="3">
        <v>35140.410388647091</v>
      </c>
      <c r="E136" s="3">
        <v>35140.410388647091</v>
      </c>
      <c r="F136">
        <v>0</v>
      </c>
      <c r="G136" s="3">
        <v>7.880000114440918</v>
      </c>
    </row>
    <row r="137" spans="1:8" x14ac:dyDescent="0.35">
      <c r="A137" t="s">
        <v>7</v>
      </c>
      <c r="B137">
        <v>35</v>
      </c>
      <c r="C137">
        <v>43</v>
      </c>
      <c r="D137" s="3">
        <v>34599.782909842659</v>
      </c>
      <c r="E137" s="3">
        <v>34599.782909842659</v>
      </c>
      <c r="F137">
        <v>0</v>
      </c>
      <c r="G137" s="3">
        <v>6.0889999866485596</v>
      </c>
    </row>
    <row r="138" spans="1:8" x14ac:dyDescent="0.35">
      <c r="A138" t="s">
        <v>7</v>
      </c>
      <c r="B138">
        <v>35</v>
      </c>
      <c r="C138">
        <v>44</v>
      </c>
      <c r="D138" s="3">
        <v>34259.184462747973</v>
      </c>
      <c r="E138" s="3">
        <v>34259.184462747973</v>
      </c>
      <c r="F138">
        <v>0</v>
      </c>
      <c r="G138" s="3">
        <v>7.062000036239624</v>
      </c>
    </row>
    <row r="139" spans="1:8" x14ac:dyDescent="0.35">
      <c r="A139" t="s">
        <v>7</v>
      </c>
      <c r="B139">
        <v>35</v>
      </c>
      <c r="C139">
        <v>45</v>
      </c>
      <c r="D139" s="3">
        <v>34298.570256644329</v>
      </c>
      <c r="E139" s="3">
        <v>34298.570256644329</v>
      </c>
      <c r="F139">
        <v>0</v>
      </c>
      <c r="G139" s="3">
        <v>6.9539999961853027</v>
      </c>
    </row>
    <row r="140" spans="1:8" x14ac:dyDescent="0.35">
      <c r="A140" t="s">
        <v>7</v>
      </c>
      <c r="B140">
        <v>35</v>
      </c>
      <c r="C140">
        <v>46</v>
      </c>
      <c r="D140" s="3">
        <v>33299.386532186087</v>
      </c>
      <c r="E140" s="3">
        <v>33299.386532186087</v>
      </c>
      <c r="F140">
        <v>0</v>
      </c>
      <c r="G140" s="3">
        <v>6.5099999904632568</v>
      </c>
    </row>
    <row r="141" spans="1:8" x14ac:dyDescent="0.35">
      <c r="A141" t="s">
        <v>7</v>
      </c>
      <c r="B141">
        <v>35</v>
      </c>
      <c r="C141">
        <v>47</v>
      </c>
      <c r="D141" s="3">
        <v>33749.89483394807</v>
      </c>
      <c r="E141" s="3">
        <v>33749.89483394807</v>
      </c>
      <c r="F141">
        <v>0</v>
      </c>
      <c r="G141" s="3">
        <v>6.624000072479248</v>
      </c>
    </row>
    <row r="142" spans="1:8" x14ac:dyDescent="0.35">
      <c r="A142" t="s">
        <v>7</v>
      </c>
      <c r="B142">
        <v>35</v>
      </c>
      <c r="C142">
        <v>48</v>
      </c>
      <c r="D142" s="3">
        <v>35478.520917399997</v>
      </c>
      <c r="E142" s="3">
        <v>35478.520917399997</v>
      </c>
      <c r="F142">
        <v>0</v>
      </c>
      <c r="G142" s="3">
        <v>8.4140000343322754</v>
      </c>
    </row>
    <row r="143" spans="1:8" x14ac:dyDescent="0.35">
      <c r="A143" t="s">
        <v>7</v>
      </c>
      <c r="B143">
        <v>35</v>
      </c>
      <c r="C143">
        <v>49</v>
      </c>
      <c r="D143" s="3">
        <v>34184.973814489822</v>
      </c>
      <c r="E143" s="3">
        <v>34184.973814489822</v>
      </c>
      <c r="F143">
        <v>0</v>
      </c>
      <c r="G143" s="3">
        <v>6.6429998874664307</v>
      </c>
    </row>
    <row r="144" spans="1:8" x14ac:dyDescent="0.35">
      <c r="A144" t="s">
        <v>7</v>
      </c>
      <c r="B144">
        <v>35</v>
      </c>
      <c r="C144">
        <v>50</v>
      </c>
      <c r="D144" s="3">
        <v>35803.40698491584</v>
      </c>
      <c r="E144" s="3">
        <v>35803.40698491584</v>
      </c>
      <c r="F144">
        <v>0</v>
      </c>
      <c r="G144" s="3">
        <v>6.8070001602172852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Vicente Arce Soto</cp:lastModifiedBy>
  <dcterms:created xsi:type="dcterms:W3CDTF">2026-09-25T00:05:35Z</dcterms:created>
  <dcterms:modified xsi:type="dcterms:W3CDTF">2026-09-25T12:48:10Z</dcterms:modified>
</cp:coreProperties>
</file>